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HDFC Bank" sheetId="2" r:id="rId6"/>
    <sheet state="visible" name="IDFC Bank" sheetId="3" r:id="rId7"/>
    <sheet state="visible" name="SBI Bank" sheetId="4" r:id="rId8"/>
    <sheet state="visible" name="First Earn CC" sheetId="5" r:id="rId9"/>
    <sheet state="visible" name="Setup" sheetId="6" r:id="rId10"/>
    <sheet state="visible" name="Biz First CC" sheetId="7" r:id="rId11"/>
    <sheet state="visible" name="RuPay Biz CC" sheetId="8" r:id="rId12"/>
  </sheets>
  <definedNames/>
  <calcPr/>
</workbook>
</file>

<file path=xl/sharedStrings.xml><?xml version="1.0" encoding="utf-8"?>
<sst xmlns="http://schemas.openxmlformats.org/spreadsheetml/2006/main" count="979" uniqueCount="257">
  <si>
    <t>Date</t>
  </si>
  <si>
    <t>Month</t>
  </si>
  <si>
    <t>Description</t>
  </si>
  <si>
    <t>Category</t>
  </si>
  <si>
    <t>Account</t>
  </si>
  <si>
    <t>Debit (Out)</t>
  </si>
  <si>
    <t>Credit (In)</t>
  </si>
  <si>
    <t>Net Amount</t>
  </si>
  <si>
    <t>Running Balance</t>
  </si>
  <si>
    <t>POS 406584XXXXXX4354 PZ HDFC CC BILLP</t>
  </si>
  <si>
    <t>Credit Card Expense</t>
  </si>
  <si>
    <t>HDFC Bank</t>
  </si>
  <si>
    <t>NET PAYIN TO NSE MF A/C -57500001396612- UCC -6960363-453350475073-57500001396612</t>
  </si>
  <si>
    <t xml:space="preserve">Demat </t>
  </si>
  <si>
    <t>UPI-LITE-01081460007245-533500208269-ADD MONEY</t>
  </si>
  <si>
    <t>Living Expense</t>
  </si>
  <si>
    <t>Previous Balance Carry Over</t>
  </si>
  <si>
    <t>Salary Credit</t>
  </si>
  <si>
    <t>CC PAYMENT 154574505117 PayZapp (Ref# 00000000001201022086113)</t>
  </si>
  <si>
    <t>HDFC BizFirst</t>
  </si>
  <si>
    <t>CC PAYMENT 714618639801 PayZapp (Ref# 00000000001201018741291)</t>
  </si>
  <si>
    <t>CC PAYMENT 084575504442 PayZapp (Ref# 00000000001201022074424)</t>
  </si>
  <si>
    <t>HDFC RuPay Biz</t>
  </si>
  <si>
    <t>CC PAYMENT 584618745027 PayZapp (Ref# 00000000001201018928179)</t>
  </si>
  <si>
    <t>UPI-K 25 COMPUTER SHOPPE</t>
  </si>
  <si>
    <t>PPF</t>
  </si>
  <si>
    <t>PPF Account</t>
  </si>
  <si>
    <t>JULSEP25 INSTAALERTCHG 79 SMS 031025-MIR2633599445087</t>
  </si>
  <si>
    <t>CASH DEPOSIT-406584XXXXXX4354-PANCHKULA SECTOR 8 CHANDIGARH</t>
  </si>
  <si>
    <t>GOOGLE PLAYMUMBAI</t>
  </si>
  <si>
    <t>NET PI TO HSL SEC A/C 6960363-00602340029444</t>
  </si>
  <si>
    <t>CANVA* I04720-19362508CAMDEN</t>
  </si>
  <si>
    <t>UPI-Blinkit</t>
  </si>
  <si>
    <t>IMPS-533898430699-API BANKING EB-NESF-XXXXXXXXXXXXXXXX6172-PAYOUT</t>
  </si>
  <si>
    <t>UPI-DAZZLE DASH PRIVATE LIMIT</t>
  </si>
  <si>
    <t>UPI-GOOGLE INDIA DIGITAL SERV</t>
  </si>
  <si>
    <t>UPI-CAPITAL GRAPHICS-CAPITAL17@ICICI-ICIC0DC0099-570640618530-UPI</t>
  </si>
  <si>
    <t>GYFTR SMARTBUY ONENEW DELHI</t>
  </si>
  <si>
    <t>CC PAYMENT 755009775519 PayZapp (Ref# 00000000001206018375362)</t>
  </si>
  <si>
    <t>UPI-17X14 CMC PARKNG BACK SIN</t>
  </si>
  <si>
    <t>UPI-GOOD AND KIND FOODS PRIVA</t>
  </si>
  <si>
    <t>NET PAYIN TO NSE MF A/C -57500001396612- UCC -6960363-453420707333-57500001396612</t>
  </si>
  <si>
    <t>UPI-AMAZON PAY-AMAZONPAY@APL-UTIB0000100-534243295249-REQUEST FROM AMAZO</t>
  </si>
  <si>
    <t>NEFT CR-SBIN0005397-ELECON INDUSTRIES-SHASHANK AGARWAL JI-SBIN425342705114</t>
  </si>
  <si>
    <t>CC PAYMENT 935202839141 PayZapp (Ref# 00000000001208018304491)</t>
  </si>
  <si>
    <t>SmartBuy_Bonus_5per_CB0000</t>
  </si>
  <si>
    <t>CC PAYMENT 015202884421 PayZapp (Ref# 00000000001208018381630)</t>
  </si>
  <si>
    <t>PAYZAPPMUMBAI</t>
  </si>
  <si>
    <t>NEFT CR-DBSS0IN0811-DB FUNDS PARKING ACCOUNT-SHASHANK AGARWAL-0811OP5165569171</t>
  </si>
  <si>
    <t>UPI-Swiggy Ltd</t>
  </si>
  <si>
    <t>IMPS-534511316243-ELECON AEROTECH PRIVATE LIMITED-SBIN-XXXXXXX6036-DIRECTOR FUND TRANSFER</t>
  </si>
  <si>
    <t>StartUp Funding</t>
  </si>
  <si>
    <t>IMPS-534512967075-ELECON AEROTECH PRIVATE LIMITED-SBIN-XXXXXXX6036-DIRECTOR TRANSFER</t>
  </si>
  <si>
    <t>UPI-MANISH AGARWAL NEHA-MANISH.ELECON@OKAXIS-JAKA0PANCHK-571147092713-UPI</t>
  </si>
  <si>
    <t>AMAZON PAY INDIA PVT LTD WWW.AMAZON</t>
  </si>
  <si>
    <t>CC PAYMENT 415441730931 PayZapp (Ref# 00000000001211017463763)</t>
  </si>
  <si>
    <t>CC PAYMENT 205441692859 PayZapp (Ref# 00000000001211017405343)</t>
  </si>
  <si>
    <t>UPI-ALCOPRIME DISTILLERI</t>
  </si>
  <si>
    <t>NEFT CR-SBIN0005397-ELECON INDUSTRIES-SHASHANK AGARWAL JI-SBIN125347668277</t>
  </si>
  <si>
    <t>CC PAYMENT 365640579943 PayZapp (Ref# 00000000001213018364842)</t>
  </si>
  <si>
    <t>GYFTR SMARTBUY TWONEW DELHI</t>
  </si>
  <si>
    <t>HOTSTARMUMBAI</t>
  </si>
  <si>
    <t>CC PAYMENT 005607412042 PayZapp (Ref# 00000000001213017093244)</t>
  </si>
  <si>
    <t>CC PAYMENT 405607524078 PayZapp (Ref# 00000000001213017135789)</t>
  </si>
  <si>
    <t>UPI-GOOGLE INDIA DIGITAL-GOOG-PAYMENTS@AXISBANK-UTIB0000553-598677133485-UPI</t>
  </si>
  <si>
    <t>UPI-ZEVIBE SOLUTIONS PRI-ZEVIBE.UNL@AXISBANK-UTIB0000100-115610664725-UPI</t>
  </si>
  <si>
    <t>FT- 701780699-50200085415108 - HDFC SECURITIES LTD-CLIENT DSCNB A/C -</t>
  </si>
  <si>
    <t>CC PAYMENT 655764354110 PayZapp</t>
  </si>
  <si>
    <t>CC Payment 965764394584</t>
  </si>
  <si>
    <t>UPI-RADHEY TRADING CO RAIMAL</t>
  </si>
  <si>
    <t>UPI-The Belgian Waffel Co</t>
  </si>
  <si>
    <t>UPI-AMAZON PAY-AMAZONBILLPAYMENTGPRRCCUPI@YAPL-YESB0APLUPI-535054672518-REQUEST FROM AMAZO</t>
  </si>
  <si>
    <r>
      <rPr>
        <rFont val="Arial"/>
      </rPr>
      <t xml:space="preserve">AMAZON PAY INDIA PVT LTD </t>
    </r>
    <r>
      <rPr>
        <rFont val="Arial"/>
        <color rgb="FF1155CC"/>
        <u/>
      </rPr>
      <t>WWW.A</t>
    </r>
  </si>
  <si>
    <r>
      <rPr>
        <rFont val="Arial"/>
      </rPr>
      <t xml:space="preserve">AMAZON PAY INDIA PVT LTD </t>
    </r>
    <r>
      <rPr>
        <rFont val="Arial"/>
        <color rgb="FF1155CC"/>
        <u/>
      </rPr>
      <t>WWW.A</t>
    </r>
  </si>
  <si>
    <t>50200116058263-TPT-CUSTOM DUTY-ELECON AEROTECH PRIVATE LIMITED</t>
  </si>
  <si>
    <t>UPI-CBIC ICEGATE-CBICICEGATE.70501658@HDFCBANK-HDFC0MERUPI-115761190002-PAY</t>
  </si>
  <si>
    <t>CC PAYMENT 575947777114</t>
  </si>
  <si>
    <t>UPI-PARVEEN SON OF RAJ KUMAR</t>
  </si>
  <si>
    <t>UPI-ZOMATO</t>
  </si>
  <si>
    <t>UPI-DHRUV GUPTA-DKG200510@OKHDFCBANK-HDFC0001388-116038022997-UPI</t>
  </si>
  <si>
    <t>CAS*Swiggy Benga</t>
  </si>
  <si>
    <t>CC PAYMENT 34642665220</t>
  </si>
  <si>
    <t>UPI-THE FRIES EMPIRE</t>
  </si>
  <si>
    <r>
      <rPr>
        <rFont val="Arial"/>
      </rPr>
      <t xml:space="preserve">AMAZON DEBIT CARD WALLE </t>
    </r>
    <r>
      <rPr>
        <rFont val="Arial"/>
        <color rgb="FF1155CC"/>
        <u/>
      </rPr>
      <t>WWW.A</t>
    </r>
  </si>
  <si>
    <t>UPI-PZ HDFC CC BILLPAY-PZHDFCCCBILLPAY.75104155@HDFCBANK-HDFC0MERUPI-719936439982-EMPTY NOTE</t>
  </si>
  <si>
    <t>UPI-PZ HDFC CC BILLPAY-PZHDFCCCBILLPAY.75104155@HDFCBANK-HDFC0MERUPI-922838699012-EMPTY NOTE</t>
  </si>
  <si>
    <t>NET PAYIN TO NSE MF A/C -57500001396612- UCC -6960363-453580170909-57500001396612</t>
  </si>
  <si>
    <t>CC PAYMENT 466568402394</t>
  </si>
  <si>
    <t>CC PAYMENT 43658591266</t>
  </si>
  <si>
    <t>UPI-GOOGLE INDIA DIGITAL-GOOG-PAYMENTS@AXISBANK-UTIB0000553-439082733595-UPI</t>
  </si>
  <si>
    <t>UPI-GOOGLE INDIA DIGITAL-GOOG-PAYMENTS@AXISBANK-UTIB0000553-505762483595-UPI</t>
  </si>
  <si>
    <t>UPI-PROTEAN EGOV TECHNOL-PROTEANEGOVTECHNOLOG.76508107@HDFCBANK-HDFC0MERUPI-785503348061-PAYMENT TO PROTEAN</t>
  </si>
  <si>
    <t>UPI-SHASHANK AGARWAL-8580825850@PZW-PPIW0887128-420161706017-OK</t>
  </si>
  <si>
    <t>CC PAYMENT 476658056671</t>
  </si>
  <si>
    <t>Swiggy Limited Banga</t>
  </si>
  <si>
    <t>TACO BELL MOHAL</t>
  </si>
  <si>
    <t>CC Payment</t>
  </si>
  <si>
    <t>UPI-Achhru Mal Kanwar Chand</t>
  </si>
  <si>
    <t>UPI-JAI SHANKER ENTERPRI</t>
  </si>
  <si>
    <t>UPI-RUDRA RAVA RASOI</t>
  </si>
  <si>
    <t>50200116058263-TPT-DIRECTOR TRANSFER-ELECON AEROTECH PRIVATE LIMITED</t>
  </si>
  <si>
    <t>IMPS-536314869123-ELECON INDUSTRIES-SBIN-XXXXXXXXXXXXX7101-NULL</t>
  </si>
  <si>
    <t>CC PAYMENT 596770212488</t>
  </si>
  <si>
    <t>NETFLIX DI SI MUMBA</t>
  </si>
  <si>
    <t>CC Payment 616770188691</t>
  </si>
  <si>
    <t>UPI-Google Asia Pacific Pte.L</t>
  </si>
  <si>
    <t>MY FRESH RETAILS PVT LPAN</t>
  </si>
  <si>
    <t>IMPS Charge</t>
  </si>
  <si>
    <t>Soumil GT Road Contribution</t>
  </si>
  <si>
    <t>UPI-Elecon Aerotech</t>
  </si>
  <si>
    <t>Zee5 Annual - GYFRT Voucher</t>
  </si>
  <si>
    <t>GT Road Reservation- Swiggy Diner</t>
  </si>
  <si>
    <t>GT Road Reservation- Swiggy Payment</t>
  </si>
  <si>
    <t>UPI-Aryaman Sharma</t>
  </si>
  <si>
    <t>UPI-Elecon Aerotech-Reverse NEFT</t>
  </si>
  <si>
    <t>AMAZON  DEBIT CARD WALLE WWW.AMAZON</t>
  </si>
  <si>
    <t>GYFTR VIA SMARTBUY     NEW DELHI</t>
  </si>
  <si>
    <t>UPI-SWIGGY</t>
  </si>
  <si>
    <t>UPI-SHASHANK AGARWAL-8580825850@AMAZONPAY-PPIW0884207-600187446854-UPI</t>
  </si>
  <si>
    <t>SmartBuy_Bonus_5per_CB         0000 (Ref# ST260020084000015122853)</t>
  </si>
  <si>
    <t>CC PAYMENT 737239369645 PayZapp (Ref# 00000000000101021198342)</t>
  </si>
  <si>
    <t>CC PAYMENT 977294689215 PayZapp (Ref# 00000000000101020472607)</t>
  </si>
  <si>
    <t>UPI-GOOGLE ASIA PACIFIC -PLAYSTORE1.BD@AXISBANK-UTIB0000100-468968460026-UPI INAPP PAYMENT</t>
  </si>
  <si>
    <t>GOOGLE PLAY              MUMBAI</t>
  </si>
  <si>
    <t>SmartBuy_Bonus_5per_CB         0000 (Ref# ST260030084000012596270)</t>
  </si>
  <si>
    <t>UPI-XXXXXXXXXXX0010-IOBA0002083-277120614512-PAYMENT TO 2083330</t>
  </si>
  <si>
    <t>A2AINT01-708950309-HDFC SECURITIES LTD-CLIENT DSCNB A/C</t>
  </si>
  <si>
    <t>50100753732060-TPT-BROTHET TRANSFER-VAIBHAV AGARWAL</t>
  </si>
  <si>
    <t>FD THROUGH MOBILE-50301274651842:SHASHANK AGARWAL</t>
  </si>
  <si>
    <t>AMAZON UTILITIES         MUMBAI</t>
  </si>
  <si>
    <t>CC PAYMENT 857699848805 PayZapp (Ref# 00000000000106017969572)</t>
  </si>
  <si>
    <t>FT- 2379257203-57500000389159 - INDIAN CLEARING CORPORATION LIMITED -</t>
  </si>
  <si>
    <t>SmartBuy_Bonus_5per_CB         0000 (Ref# ST260090084000011565659)</t>
  </si>
  <si>
    <t>CC PAYMENT 257863520913 PayZapp (Ref# 00000000000108017447823)</t>
  </si>
  <si>
    <t>PAYZAPP_W2A_CREDIT</t>
  </si>
  <si>
    <t>UPI-GROWW INVEST TECH PR-GROWW.BRK@VALIDICICI-ICIC0DC0099-637639937426-PAID VIA ELEMENTS</t>
  </si>
  <si>
    <t>PAYZAPP WALLET         MUMBAI</t>
  </si>
  <si>
    <t>UPI-BLACKBERRY ELLANTE C-PAYTM-63945637@PTYS-YESB0PTMUPI-867696352794-PAYMENT TO PAYTM 6</t>
  </si>
  <si>
    <t>UPI-VAIBHAV AGARWAL-8872725850@PZ-HDFC0000108-439416002523-REMARK</t>
  </si>
  <si>
    <t>CC PAYMENT 908119082647 PayZapp (Ref# 00000000000111018327127)</t>
  </si>
  <si>
    <t>UPI-PEElante MallChandigarh</t>
  </si>
  <si>
    <t>FT- 453420707333-00990610005906 - NSE CLEARING - NORMAL SETTLEMENT ACCOUNT - MFS -</t>
  </si>
  <si>
    <t>NEFT CR-UTIB0000052-GR0WW INVEST TECH PVT LTD - DSCNBA-SHASHANK AGARWAL-AXNH260120049548</t>
  </si>
  <si>
    <t>UPI-SBICAP SECURITIES LT-SBISECURITIES.RZP1.BRK@VALIDHDFC-HDFC0MERUPI-206088902958-PAYVIARAZORPAY</t>
  </si>
  <si>
    <t>UPI-SBI CAP SECURITIES L-YESPAY.BTTSXESF1CNR@YESBANKLTD-YESB0YESUPI-262120831070-ACCOUNT VERIFICATI</t>
  </si>
  <si>
    <t>FIRST YEAR MEMBERSHIP FEE (Ref# 19999999980114999828000)</t>
  </si>
  <si>
    <t>IGST-VPS</t>
  </si>
  <si>
    <t>CashBack</t>
  </si>
  <si>
    <t>DAVCHD</t>
  </si>
  <si>
    <t>UPI-PZ HDFC CC BILLPAY-PZHDFCCCBILLPAY.75104155@HDFCBANK-HDFC0MERUPI-061416904896-EMPTY NOTE</t>
  </si>
  <si>
    <t>UPI-SBICAP SECURITIES LT-SBISECURITIES.RZP1.BRK@VALIDHDFC-HDFC0MERUPI-944360021031-PAYVIARAZORPAY</t>
  </si>
  <si>
    <t>FD THROUGH MOBILE-50301280200150:SHASHANK AGARWAL</t>
  </si>
  <si>
    <t>INTEREST CREDIT 50301274651842</t>
  </si>
  <si>
    <t>PRIN AND INT AUTO_REDEEM 50301274651842</t>
  </si>
  <si>
    <t>NEFT CR-SBIN0005397-ELECON INDUSTRIES-SHASHANK AGARWAL JI-SBIN326016050645</t>
  </si>
  <si>
    <t>CashBack fee</t>
  </si>
  <si>
    <t>UPIRET-262120831070-14012026</t>
  </si>
  <si>
    <t>IMPS-601790803229-API BANKING EB-NESF-XXXXXXXXXXXXXXXX6172-PAYOUT</t>
  </si>
  <si>
    <t>IB FD PREMAT PRINCIPAL-50301280200150</t>
  </si>
  <si>
    <t>IMPS-601792810899-API BANKING EB-NULL-XXXXXXXXXXXXXXXX6172-PAYOUT</t>
  </si>
  <si>
    <t>UPI-IDFC FIRST BANK-IDFCFIRSTBANK563072.RZP@RXAIRTEL-AIRP0000011-601796276661-IDFCFIRSTBANK</t>
  </si>
  <si>
    <t>IB BILLPAY DR-HDFCEL-457704XXXXXX1130</t>
  </si>
  <si>
    <t>UPI-CREDIT CARD BILL PAY-CCBILLPAY.18948534@IDFCBANK-IDFB0040101-601897179258-UPI</t>
  </si>
  <si>
    <t>UPI-SBICAP SECURITIES LT-SBISECURITIES.RZP1.BRK@VALIDHDFC-HDFC0MERUPI-601997949951-PAYVIARAZORPAY</t>
  </si>
  <si>
    <t>UPI-AMAZON PAY BILL PAYM-AMAZONBILLPAYMENTGPRRCCUPI@APL-UTIB0000100-601998584057-REQUEST FROM AMAZO</t>
  </si>
  <si>
    <t>UPI-SBICAP SECURITIES LT-SBISECURITIES.RZP1.BRK@VALIDHDFC-HDFC0MERUPI-602099490871-PAYVIARAZORPAY</t>
  </si>
  <si>
    <t>UPI-SBICAP SECURITIES LT-SBISECURITIES.RZP1.BRK@VALIDHDFC-HDFC0MERUPI-602099625935-PAYVIARAZORPAY</t>
  </si>
  <si>
    <t>FT - - CCIL_NONFINANCIAL - 57500001243145 - THE CLEARING CORPORATION OF INDIA LIMITE</t>
  </si>
  <si>
    <t>A2AINT01-713934442-HDFC SECURITIES LTD-CLIENT DSCNB A/C</t>
  </si>
  <si>
    <t>UPI-SBICAP SECURITIES LT-SBISECURITIES.RZP1.BRK@VALIDHDFC-HDFC0MERUPI-602100478240-PAYVIARAZORPAY</t>
  </si>
  <si>
    <t>UPI-CREDIT CARD BILL PAY-CCBILLPAY.18948534@IDFCBANK-IDFB0040101-602100483488-UPI</t>
  </si>
  <si>
    <t>UPI-VAIBHAV AGARWAL-VAIBHAV02032006@OKHDFCBANK-HDFC0000108-602229180474-PAID VIA SUPERMONE</t>
  </si>
  <si>
    <t>CREDIT BALANCE REFUND- CLOSED CARD -7633</t>
  </si>
  <si>
    <t>UPI-VAIBHAV AGARWAL-8872725850@SUPERYES-HDFC0000108-639342305244-PAID VIA SUPERMONE</t>
  </si>
  <si>
    <t>IB FD PREMAT PRINCIPAL-50301217008135</t>
  </si>
  <si>
    <t>IB FD PREMAT INT PAID-50301217008135</t>
  </si>
  <si>
    <t>FD THROUGH MOBILE-50301296099827:SHASHANK AGARWAL</t>
  </si>
  <si>
    <t>UPI-NETFLIX-NETFLIX.BD@AXISBANK-UTIB0000100-636043260286-MANDATEEXECUTE</t>
  </si>
  <si>
    <t>UPI-SBICAP SECURITIES LT-SBISECURITIES.RZP1.BRK@VALIDHDFC-HDFC0MERUPI-639575594331-PAYVIARAZORPAY</t>
  </si>
  <si>
    <t>UPI-SBICAP SECURITIES LT-SBISECURITIES.RZP1.BRK@VALIDHDFC-HDFC0MERUPI-602910932006-PAYVIARAZORPAY</t>
  </si>
  <si>
    <t>NEFT CR-SBIN0011777-SBICAP SECURITIES LIMITED USCNB AC-SHASHANK AGARWAL-SBIN226030383593</t>
  </si>
  <si>
    <t>UPI-SBICAP SECURITIES LT-SBISECURITIES.RZP1.BRK@VALIDHDFC-HDFC0MERUPI-603260664782-PAYVIARAZORPAY</t>
  </si>
  <si>
    <t>UPI-SBICAP SECURITIES LT-SBISECURITIES.RZP1.BRK@VALIDHDFC-HDFC0MERUPI-603261333939-PAYVIARAZORPAY</t>
  </si>
  <si>
    <t>UPI-SBICAP SECURITIES LT-SBISECURITIES.RZP1.BRK@VALIDHDFC-HDFC0MERUPI-603214378783-PAYVIARAZORPAY</t>
  </si>
  <si>
    <t>UPI-SBICAP SECURITIES LT-SBISECURITIES.RZP1.BRK@VALIDHDFC-HDFC0MERUPI-603214379893-PAYVIARAZORPAY</t>
  </si>
  <si>
    <t>UPI-SUPERMONEY-SUPERMONEY1@YESBANK-YESB0000001-603205497875-SUPERMONEY REWARDS</t>
  </si>
  <si>
    <t>NEFT CR-SBIN0011777-SBICAP SECURITIES LIMITED USCNB AC-SHASHANK AGARWAL-SBIN526037258271</t>
  </si>
  <si>
    <t>UPI-TASTEONPLATE PVT LTD-Q261992807@YBL-YESB0YBLUPI-640704186630-PAID VIA SUPERMONE</t>
  </si>
  <si>
    <t>UPI-TASTEONPLATE PVT LTD-Q261992807@YBL-YESB0YBLUPI-640704379388-PAID VIA SUPERMONE</t>
  </si>
  <si>
    <t>UPI-SUPERMONEY-SUPERMONEY1@YESBANK-YESB0000001-604137753069-SUPERMONEY REWARDS</t>
  </si>
  <si>
    <t>UPI-YASH KUMAR MASANI-YASHKUMAR142001@OKHDFCBANK-BKID0006203-640709826216-PAID VIA SUPERMONE</t>
  </si>
  <si>
    <t>UPI-SHRI BALAJI KARYANAS-Q47786098@YBL-YESB0YBLUPI-640829699139-PAID VIA SUPERMONE</t>
  </si>
  <si>
    <t>UPI-CREDIT CARD BILL PAY-CCBILLPAY.18948534@IDFCBANK-IDFB0040101-641073633476-PAID VIA SUPERMONE</t>
  </si>
  <si>
    <t>UPI-CREDIT CARD BILL PAY-CCBILLPAY.18948534@IDFCBANK-IDFB0040101-641083278942-PAID VIA SUPERMONE</t>
  </si>
  <si>
    <t>NEFT CR-SBIN0005397-ELECON INDUSTRIES-SHASHANK AGARWAL JI-SBIN226047055342</t>
  </si>
  <si>
    <t>FD THROUGH MOBILE-50301307411331:SHASHANK AGARWAL</t>
  </si>
  <si>
    <t>UPI-CREDIT CARD BILL PAY-CCBILLPAY.18948534@IDFCBANK-IDFB0040101-604756636550-PAID VIA SUPERMONE</t>
  </si>
  <si>
    <t>UPI-SBICAP SECURITIES LT-SBISECURITIES.RZP1.BRK@VALIDHDFC-HDFC0MERUPI-604875773612-PAYVIARAZORPAY</t>
  </si>
  <si>
    <t>UPI-SBICAP SECURITIES LT-SBISECURITIES.RZP1.BRK@VALIDHDFC-HDFC0MERUPI-604875777518-PAYVIARAZORPAY</t>
  </si>
  <si>
    <t>UPI-SUPERMONEY-SUPERMONEY1@YESBANK-YESB0000001-604859373358-SUPERMONEY REWARDS</t>
  </si>
  <si>
    <t>FD THROUGH MOBILE-50301308805651:SHASHANK AGARWAL</t>
  </si>
  <si>
    <t>UPI-NAVI LIMITED-NAVILIMITED@IDFCBANK-IDFB0081188-605098990381-NAVI LIMITED FUND</t>
  </si>
  <si>
    <t>UPI-SBICAP SECURITIES ON-SBISECURITIES.NTT.BRK@VALIDHDFC-HDFC0MERUPI-102741033737-ATOM</t>
  </si>
  <si>
    <t>UPI-NAVI LIMITED-NAVILIMITED@IDFCBANK-IDFB0081188-605099156744-NAVI LIMITED FUND</t>
  </si>
  <si>
    <t>UPI-NAVI BILL PAYMENTS-NAVIRCBP.CCBILLPAY@ICICI-ICIC0DC0099-000784405540-PAY</t>
  </si>
  <si>
    <t>UPI-NAVI LIMITED-NAVILIMITED@IDFCBANK-IDFB0081188-605099335407-NAVI LIMITED FUND</t>
  </si>
  <si>
    <t>UPI-NAVI TECHNOLOGIES-NAVITECHLTD.CF@AXISBANK-UTIB0001920-000784422036-PAY</t>
  </si>
  <si>
    <t>UPI-NAVI LIMITED-NAVILIMITED@IDFCBANK-IDFB0081188-605099336637-NAVI LIMITED FUND</t>
  </si>
  <si>
    <t>IB FD PREMAT PRINCIPAL-50301296099827</t>
  </si>
  <si>
    <t>IB FD PREMAT INT PAID-50301296099827</t>
  </si>
  <si>
    <t>UPI-NAVI BILL PAYMENTS-NAVIRCBP.CCBILLPAY@ICICI-ICIC0DC0099-000784622574-PAY</t>
  </si>
  <si>
    <t>UPI-NAVI LIMITED-NAVILIMITED@IDFCBANK-IDFB0081188-605099355250-NAVI LIMITED FUND</t>
  </si>
  <si>
    <t>UPI-NAVI TECHNOLOGIES-NAVITECHLTD.CF@AXISBANK-UTIB0001920-000789745693-PAY</t>
  </si>
  <si>
    <t>UPI-NAVI TECHNOLOGIES-NAVITECHLTD.CF@AXISBANK-UTIB0001920-000789727252-PAY</t>
  </si>
  <si>
    <t>UPI-NAVI TECHNOLOGIES-NAVITECHLTD.CF@AXISBANK-UTIB0001920-000789775847-PAY</t>
  </si>
  <si>
    <t>UPI-NAVI LIMITED-NAVILIMITED@IDFCBANK-IDFB0081188-605099768559-NAVI LIMITED FUND</t>
  </si>
  <si>
    <t>UPI-NAVI TECHNOLOGIES-NAVITECHLTD.CF@AXISBANK-UTIB0001920-000789813471-PAY</t>
  </si>
  <si>
    <t>UPI-NAVI LIMITED-NAVILIMITED@IDFCBANK-IDFB0081188-605099772845-NAVI LIMITED FUND</t>
  </si>
  <si>
    <t>UPI-NAVI TECHNOLOGIES-CF.NAVITECHNOLOGIESLTD@CASHFREENSDLPB-NSPB0000011-000795037438-PAY</t>
  </si>
  <si>
    <t>UPI-NAVI BILL PAYMENTS-NAVIRCBP.CCBILLPAY@ICICI-ICIC0DC0099-000800689677-PAY</t>
  </si>
  <si>
    <t>UPI-NAVI BILL PAYMENTS-NAVIRCBP.CCBILLPAY@ICICI-ICIC0DC0099-000822026604-PAY</t>
  </si>
  <si>
    <t>UPI-NAVI LIMITED-NAVILIMITED@IDFCBANK-IDFB0081188-605202538919-NAVI LIMITED FUND</t>
  </si>
  <si>
    <t>NEFT CR-CITI0100000-PAYPAL PAYMENTS PL INR FBO CUR AC-SHASHANK AGARWAL-CITIN26623836688</t>
  </si>
  <si>
    <t>NEFT CR-CITI0100000-PAYPAL PAYMENTS PL INR FBO CUR AC-SHASHANK AGARWAL-CITIN26623823420</t>
  </si>
  <si>
    <t>FD THROUGH MOBILE-50301310688845:SHASHANK AGARWAL</t>
  </si>
  <si>
    <t>NEFT CR-RBIS0CGPA01-CHANDIGARH REGIONAL OFFICE-SHASHANK AGARWAL-U000000997990159</t>
  </si>
  <si>
    <t>UPI-SBICAP SECURITIES LT-SBISECURITIES.RZP1.BRK@VALIDHDFC-HDFC0MERUPI-605406561965-PAYVIARAZORPAY</t>
  </si>
  <si>
    <t>UPI-NAVI LIMITED-NAVILIMITED@IDFCBANK-IDFB0081188-605405380507-NAVI LIMITED FUND</t>
  </si>
  <si>
    <t>IB SS FUNDS TRANSFER DR-55000007565772</t>
  </si>
  <si>
    <t>NEFT CR-SBIN0011777-SBICAP SECURITIES LIMITED USCNB AC-SHASHANK AGARWAL-SBIN126055847878</t>
  </si>
  <si>
    <t>NB Subscription HDFC35ABEA60CBE5 - Cr - 01081460007245 - SHASHANK AGARWAL</t>
  </si>
  <si>
    <t>INTEREST CREDIT 50301308805651</t>
  </si>
  <si>
    <t>PRIN AND INT AUTO_REDEEM 50301308805651</t>
  </si>
  <si>
    <t>FD THROUGH MOBILE-50301312831021:SHASHANK AGARWAL</t>
  </si>
  <si>
    <t>UPI-NAGPAL PURE VEG FOOD-VYAPAR.168746225950@HDFCBANK-HDFC0MERUPI-121698510596-UPI</t>
  </si>
  <si>
    <t>INTEREST CREDIT 50301310688845</t>
  </si>
  <si>
    <t>PRIN AND INT AUTO_REDEEM 50301310688845</t>
  </si>
  <si>
    <t>UPI-SBICAP SECURITIES LT-SBISECURITIES.RZP1.BRK@VALIDHDFC-HDFC0MERUPI-410376950616-PAYVIARAZORPAY</t>
  </si>
  <si>
    <t>IMPS P2P 532407918485#20/11/2025-EPR2606124885434</t>
  </si>
  <si>
    <t>UPI-SBICAP SECURITIES ON-SBICAPSEC.NTTU.BRK@VALIDHDFC-HDFC0MERUPI-102842269189-ATOM</t>
  </si>
  <si>
    <t>UPI-SBICAP SECURITIES ON-SBICAPSEC.NTTU.BRK@VALIDHDFC-HDFC0MERUPI-102842358135-ATOM</t>
  </si>
  <si>
    <t>UPI-SBICAP SECURITIES ON-SBICAPSEC.NTTU.BRK@VALIDHDFC-HDFC0MERUPI-102842371975-ATOM</t>
  </si>
  <si>
    <t>UPI-SBICAP SECURITIES LT-SBISECURITIES.RZP1.BRK@VALIDHDFC-HDFC0MERUPI-606354738047-PAYVIARAZORPAY</t>
  </si>
  <si>
    <t>UPI-SBICAP SECURITIES LT-SBISECURITIES.RZP1.BRK@VALIDHDFC-HDFC0MERUPI-606354825303-PAYVIARAZORPAY</t>
  </si>
  <si>
    <t>INTEREST CREDIT 50301312831021</t>
  </si>
  <si>
    <t>PRIN AND INT AUTO_REDEEM 50301312831021</t>
  </si>
  <si>
    <t>UPI-JOT SINGH-JR2933322-1@OKHDFCBANK-HDFC0005246-267414000656-UPI</t>
  </si>
  <si>
    <t>Amount</t>
  </si>
  <si>
    <t>Account Name</t>
  </si>
  <si>
    <t>SBI Bank</t>
  </si>
  <si>
    <t>Unemployment Fund</t>
  </si>
  <si>
    <t>IDFC Bank</t>
  </si>
  <si>
    <t>College Fund</t>
  </si>
  <si>
    <t>College Account</t>
  </si>
  <si>
    <t>Home workspace</t>
  </si>
  <si>
    <t>Demat</t>
  </si>
  <si>
    <t>First Earn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</si>
</sst>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&quot;/&quot;yy"/>
    <numFmt numFmtId="165" formatCode="[$₹]#,##0.00"/>
    <numFmt numFmtId="166" formatCode="d&quot;/&quot;m&quot;/&quot;yyyy"/>
    <numFmt numFmtId="167" formatCode="M/d/yyyy"/>
    <numFmt numFmtId="168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b/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168" xfId="0" applyAlignment="1" applyFont="1" applyNumberFormat="1">
      <alignment horizontal="center" readingOrder="0"/>
    </xf>
    <xf borderId="0" fillId="0" fontId="1" numFmtId="165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DFC Ban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st Earn C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z First C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Pay Biz C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1158" displayName="Table2" name="Table2" id="1">
  <tableColumns count="9">
    <tableColumn name="Date" id="1"/>
    <tableColumn name="Month" id="2"/>
    <tableColumn name="Description" id="3"/>
    <tableColumn name="Category" id="4"/>
    <tableColumn name="Account" id="5"/>
    <tableColumn name="Debit (Out)" id="6"/>
    <tableColumn name="Credit (In)" id="7"/>
    <tableColumn name="Net Amount" id="8"/>
    <tableColumn name="Running Balance" id="9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ref="A2:E562" displayName="Table1" name="Table1" id="2">
  <tableColumns count="5">
    <tableColumn name="Date" id="1"/>
    <tableColumn name="Description" id="2"/>
    <tableColumn name="Category" id="3"/>
    <tableColumn name="Amount" id="4"/>
    <tableColumn name="Running Balance" id="5"/>
  </tableColumns>
  <tableStyleInfo name="HDFC Bank-style" showColumnStripes="0" showFirstColumn="1" showLastColumn="1" showRowStripes="1"/>
</table>
</file>

<file path=xl/tables/table3.xml><?xml version="1.0" encoding="utf-8"?>
<table xmlns="http://schemas.openxmlformats.org/spreadsheetml/2006/main" ref="A1:E553" displayName="Table3" name="Table3" id="3">
  <tableColumns count="5">
    <tableColumn name="Date" id="1"/>
    <tableColumn name="Description" id="2"/>
    <tableColumn name="Category" id="3"/>
    <tableColumn name="Amount" id="4"/>
    <tableColumn name="Running Balance" id="5"/>
  </tableColumns>
  <tableStyleInfo name="First Earn CC-style" showColumnStripes="0" showFirstColumn="1" showLastColumn="1" showRowStripes="1"/>
</table>
</file>

<file path=xl/tables/table4.xml><?xml version="1.0" encoding="utf-8"?>
<table xmlns="http://schemas.openxmlformats.org/spreadsheetml/2006/main" ref="A2:E554" displayName="Biz_First" name="Biz_First" id="4">
  <tableColumns count="5">
    <tableColumn name="Date" id="1"/>
    <tableColumn name="Description" id="2"/>
    <tableColumn name="Category" id="3"/>
    <tableColumn name="Amount" id="4"/>
    <tableColumn name="Running Balance" id="5"/>
  </tableColumns>
  <tableStyleInfo name="Biz First CC-style" showColumnStripes="0" showFirstColumn="1" showLastColumn="1" showRowStripes="1"/>
</table>
</file>

<file path=xl/tables/table5.xml><?xml version="1.0" encoding="utf-8"?>
<table xmlns="http://schemas.openxmlformats.org/spreadsheetml/2006/main" ref="A2:E542" displayName="Rupay_Biz" name="Rupay_Biz" id="5">
  <tableColumns count="5">
    <tableColumn name="Date" id="1"/>
    <tableColumn name="Description" id="2"/>
    <tableColumn name="Category" id="3"/>
    <tableColumn name="Amount" id="4"/>
    <tableColumn name="Running Balance" id="5"/>
  </tableColumns>
  <tableStyleInfo name="RuPay Biz C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/" TargetMode="External"/><Relationship Id="rId2" Type="http://schemas.openxmlformats.org/officeDocument/2006/relationships/hyperlink" Target="http://www.a/" TargetMode="External"/><Relationship Id="rId3" Type="http://schemas.openxmlformats.org/officeDocument/2006/relationships/hyperlink" Target="http://www.a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10.25"/>
    <col customWidth="1" min="3" max="3" width="50.63"/>
    <col customWidth="1" min="4" max="5" width="21.38"/>
    <col customWidth="1" min="6" max="6" width="16.75"/>
    <col customWidth="1" min="7" max="7" width="16.13"/>
    <col customWidth="1" min="8" max="8" width="17.63"/>
    <col customWidth="1" min="9" max="9" width="20.38"/>
  </cols>
  <sheetData>
    <row r="1">
      <c r="A1" s="1"/>
      <c r="B1" s="2"/>
      <c r="C1" s="2"/>
      <c r="D1" s="3"/>
      <c r="E1" s="3"/>
      <c r="F1" s="2"/>
      <c r="G1" s="2"/>
      <c r="H1" s="3"/>
      <c r="I1" s="4">
        <f>SUM(Table2[Net Amount])</f>
        <v>23349.59</v>
      </c>
    </row>
    <row r="2" ht="22.5" customHeight="1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7" t="s">
        <v>7</v>
      </c>
      <c r="I2" s="6" t="s">
        <v>8</v>
      </c>
    </row>
    <row r="3" ht="22.5" customHeight="1">
      <c r="A3" s="8">
        <v>45992.0</v>
      </c>
      <c r="B3" s="9" t="str">
        <f t="shared" ref="B3:B1158" si="1">TEXT(A3,"mmm-yyyy")</f>
        <v>Dec-2025</v>
      </c>
      <c r="C3" s="10" t="s">
        <v>9</v>
      </c>
      <c r="D3" s="11" t="s">
        <v>10</v>
      </c>
      <c r="E3" s="12" t="s">
        <v>11</v>
      </c>
      <c r="F3" s="13">
        <v>7800.0</v>
      </c>
      <c r="G3" s="14"/>
      <c r="H3" s="15">
        <f t="shared" ref="H3:H1158" si="2">G3-F3</f>
        <v>-7800</v>
      </c>
      <c r="I3" s="16">
        <f t="shared" ref="I3:I1158" si="3">SUM($H$3:H3)</f>
        <v>-7800</v>
      </c>
    </row>
    <row r="4" ht="22.5" customHeight="1">
      <c r="A4" s="8">
        <v>45992.0</v>
      </c>
      <c r="B4" s="9" t="str">
        <f t="shared" si="1"/>
        <v>Dec-2025</v>
      </c>
      <c r="C4" s="10" t="s">
        <v>9</v>
      </c>
      <c r="D4" s="11" t="s">
        <v>10</v>
      </c>
      <c r="E4" s="12" t="s">
        <v>11</v>
      </c>
      <c r="F4" s="13">
        <v>10.0</v>
      </c>
      <c r="G4" s="14"/>
      <c r="H4" s="15">
        <f t="shared" si="2"/>
        <v>-10</v>
      </c>
      <c r="I4" s="16">
        <f t="shared" si="3"/>
        <v>-7810</v>
      </c>
    </row>
    <row r="5" ht="22.5" customHeight="1">
      <c r="A5" s="8">
        <v>45992.0</v>
      </c>
      <c r="B5" s="9" t="str">
        <f t="shared" si="1"/>
        <v>Dec-2025</v>
      </c>
      <c r="C5" s="10" t="s">
        <v>12</v>
      </c>
      <c r="D5" s="11" t="s">
        <v>13</v>
      </c>
      <c r="E5" s="12" t="s">
        <v>11</v>
      </c>
      <c r="F5" s="13">
        <v>500.0</v>
      </c>
      <c r="G5" s="14"/>
      <c r="H5" s="15">
        <f t="shared" si="2"/>
        <v>-500</v>
      </c>
      <c r="I5" s="16">
        <f t="shared" si="3"/>
        <v>-8310</v>
      </c>
    </row>
    <row r="6" ht="22.5" customHeight="1">
      <c r="A6" s="8">
        <v>45992.0</v>
      </c>
      <c r="B6" s="9" t="str">
        <f t="shared" si="1"/>
        <v>Dec-2025</v>
      </c>
      <c r="C6" s="10" t="s">
        <v>14</v>
      </c>
      <c r="D6" s="11" t="s">
        <v>15</v>
      </c>
      <c r="E6" s="12" t="s">
        <v>11</v>
      </c>
      <c r="F6" s="13">
        <v>1.0</v>
      </c>
      <c r="G6" s="14"/>
      <c r="H6" s="15">
        <f t="shared" si="2"/>
        <v>-1</v>
      </c>
      <c r="I6" s="16">
        <f t="shared" si="3"/>
        <v>-8311</v>
      </c>
    </row>
    <row r="7" ht="22.5" customHeight="1">
      <c r="A7" s="8">
        <v>45992.0</v>
      </c>
      <c r="B7" s="9" t="str">
        <f t="shared" si="1"/>
        <v>Dec-2025</v>
      </c>
      <c r="C7" s="10" t="s">
        <v>16</v>
      </c>
      <c r="D7" s="17" t="s">
        <v>17</v>
      </c>
      <c r="E7" s="12" t="s">
        <v>11</v>
      </c>
      <c r="F7" s="16"/>
      <c r="G7" s="13">
        <v>70664.09</v>
      </c>
      <c r="H7" s="16">
        <f t="shared" si="2"/>
        <v>70664.09</v>
      </c>
      <c r="I7" s="16">
        <f t="shared" si="3"/>
        <v>62353.09</v>
      </c>
    </row>
    <row r="8" ht="22.5" customHeight="1">
      <c r="A8" s="8">
        <v>45992.0</v>
      </c>
      <c r="B8" s="9" t="str">
        <f t="shared" si="1"/>
        <v>Dec-2025</v>
      </c>
      <c r="C8" s="18" t="s">
        <v>18</v>
      </c>
      <c r="D8" s="11" t="s">
        <v>10</v>
      </c>
      <c r="E8" s="12" t="s">
        <v>19</v>
      </c>
      <c r="F8" s="14"/>
      <c r="G8" s="14">
        <v>7800.0</v>
      </c>
      <c r="H8" s="15">
        <f t="shared" si="2"/>
        <v>7800</v>
      </c>
      <c r="I8" s="16">
        <f t="shared" si="3"/>
        <v>70153.09</v>
      </c>
    </row>
    <row r="9" ht="22.5" customHeight="1">
      <c r="A9" s="8">
        <v>45992.0</v>
      </c>
      <c r="B9" s="9" t="str">
        <f t="shared" si="1"/>
        <v>Dec-2025</v>
      </c>
      <c r="C9" s="18" t="s">
        <v>20</v>
      </c>
      <c r="D9" s="11" t="s">
        <v>10</v>
      </c>
      <c r="E9" s="12" t="s">
        <v>19</v>
      </c>
      <c r="F9" s="14"/>
      <c r="G9" s="14">
        <v>3729.67</v>
      </c>
      <c r="H9" s="15">
        <f t="shared" si="2"/>
        <v>3729.67</v>
      </c>
      <c r="I9" s="16">
        <f t="shared" si="3"/>
        <v>73882.76</v>
      </c>
    </row>
    <row r="10" ht="22.5" customHeight="1">
      <c r="A10" s="8">
        <v>45992.0</v>
      </c>
      <c r="B10" s="9" t="str">
        <f t="shared" si="1"/>
        <v>Dec-2025</v>
      </c>
      <c r="C10" s="10" t="s">
        <v>16</v>
      </c>
      <c r="D10" s="11" t="s">
        <v>10</v>
      </c>
      <c r="E10" s="12" t="s">
        <v>19</v>
      </c>
      <c r="F10" s="13">
        <v>9930.0</v>
      </c>
      <c r="G10" s="13"/>
      <c r="H10" s="15">
        <f t="shared" si="2"/>
        <v>-9930</v>
      </c>
      <c r="I10" s="16">
        <f t="shared" si="3"/>
        <v>63952.76</v>
      </c>
    </row>
    <row r="11" ht="22.5" customHeight="1">
      <c r="A11" s="8">
        <v>45992.0</v>
      </c>
      <c r="B11" s="9" t="str">
        <f t="shared" si="1"/>
        <v>Dec-2025</v>
      </c>
      <c r="C11" s="18" t="s">
        <v>21</v>
      </c>
      <c r="D11" s="11" t="s">
        <v>10</v>
      </c>
      <c r="E11" s="12" t="s">
        <v>22</v>
      </c>
      <c r="F11" s="16"/>
      <c r="G11" s="16">
        <v>10.0</v>
      </c>
      <c r="H11" s="15">
        <f t="shared" si="2"/>
        <v>10</v>
      </c>
      <c r="I11" s="16">
        <f t="shared" si="3"/>
        <v>63962.76</v>
      </c>
    </row>
    <row r="12" ht="22.5" customHeight="1">
      <c r="A12" s="8">
        <v>45992.0</v>
      </c>
      <c r="B12" s="9" t="str">
        <f t="shared" si="1"/>
        <v>Dec-2025</v>
      </c>
      <c r="C12" s="18" t="s">
        <v>23</v>
      </c>
      <c r="D12" s="11" t="s">
        <v>10</v>
      </c>
      <c r="E12" s="12" t="s">
        <v>22</v>
      </c>
      <c r="F12" s="16"/>
      <c r="G12" s="16">
        <v>90.0</v>
      </c>
      <c r="H12" s="15">
        <f t="shared" si="2"/>
        <v>90</v>
      </c>
      <c r="I12" s="16">
        <f t="shared" si="3"/>
        <v>64052.76</v>
      </c>
    </row>
    <row r="13" ht="22.5" customHeight="1">
      <c r="A13" s="8">
        <v>45992.0</v>
      </c>
      <c r="B13" s="9" t="str">
        <f t="shared" si="1"/>
        <v>Dec-2025</v>
      </c>
      <c r="C13" s="10" t="s">
        <v>16</v>
      </c>
      <c r="D13" s="11" t="s">
        <v>10</v>
      </c>
      <c r="E13" s="12" t="s">
        <v>22</v>
      </c>
      <c r="F13" s="13">
        <v>250.0</v>
      </c>
      <c r="G13" s="13"/>
      <c r="H13" s="15">
        <f t="shared" si="2"/>
        <v>-250</v>
      </c>
      <c r="I13" s="16">
        <f t="shared" si="3"/>
        <v>63802.76</v>
      </c>
    </row>
    <row r="14" ht="22.5" customHeight="1">
      <c r="A14" s="8">
        <v>45992.0</v>
      </c>
      <c r="B14" s="9" t="str">
        <f t="shared" si="1"/>
        <v>Dec-2025</v>
      </c>
      <c r="C14" s="18" t="s">
        <v>24</v>
      </c>
      <c r="D14" s="11" t="s">
        <v>15</v>
      </c>
      <c r="E14" s="12" t="s">
        <v>22</v>
      </c>
      <c r="F14" s="16">
        <v>7800.0</v>
      </c>
      <c r="G14" s="13"/>
      <c r="H14" s="15">
        <f t="shared" si="2"/>
        <v>-7800</v>
      </c>
      <c r="I14" s="16">
        <f t="shared" si="3"/>
        <v>56002.76</v>
      </c>
    </row>
    <row r="15" ht="22.5" customHeight="1">
      <c r="A15" s="8">
        <v>45992.0</v>
      </c>
      <c r="B15" s="9" t="str">
        <f t="shared" si="1"/>
        <v>Dec-2025</v>
      </c>
      <c r="C15" s="10" t="s">
        <v>16</v>
      </c>
      <c r="D15" s="11" t="s">
        <v>25</v>
      </c>
      <c r="E15" s="12" t="s">
        <v>26</v>
      </c>
      <c r="F15" s="13"/>
      <c r="G15" s="13">
        <v>16059.0</v>
      </c>
      <c r="H15" s="15">
        <f t="shared" si="2"/>
        <v>16059</v>
      </c>
      <c r="I15" s="16">
        <f t="shared" si="3"/>
        <v>72061.76</v>
      </c>
    </row>
    <row r="16" ht="22.5" customHeight="1">
      <c r="A16" s="8">
        <v>45993.0</v>
      </c>
      <c r="B16" s="9" t="str">
        <f t="shared" si="1"/>
        <v>Dec-2025</v>
      </c>
      <c r="C16" s="10" t="s">
        <v>9</v>
      </c>
      <c r="D16" s="11" t="s">
        <v>10</v>
      </c>
      <c r="E16" s="12" t="s">
        <v>11</v>
      </c>
      <c r="F16" s="13">
        <v>3729.67</v>
      </c>
      <c r="G16" s="14"/>
      <c r="H16" s="15">
        <f t="shared" si="2"/>
        <v>-3729.67</v>
      </c>
      <c r="I16" s="16">
        <f t="shared" si="3"/>
        <v>68332.09</v>
      </c>
    </row>
    <row r="17" ht="22.5" customHeight="1">
      <c r="A17" s="8">
        <v>45993.0</v>
      </c>
      <c r="B17" s="9" t="str">
        <f t="shared" si="1"/>
        <v>Dec-2025</v>
      </c>
      <c r="C17" s="10" t="s">
        <v>9</v>
      </c>
      <c r="D17" s="11" t="s">
        <v>10</v>
      </c>
      <c r="E17" s="12" t="s">
        <v>11</v>
      </c>
      <c r="F17" s="13">
        <v>90.0</v>
      </c>
      <c r="G17" s="14"/>
      <c r="H17" s="15">
        <f t="shared" si="2"/>
        <v>-90</v>
      </c>
      <c r="I17" s="16">
        <f t="shared" si="3"/>
        <v>68242.09</v>
      </c>
    </row>
    <row r="18" ht="22.5" customHeight="1">
      <c r="A18" s="8">
        <v>45993.0</v>
      </c>
      <c r="B18" s="9" t="str">
        <f t="shared" si="1"/>
        <v>Dec-2025</v>
      </c>
      <c r="C18" s="10" t="s">
        <v>27</v>
      </c>
      <c r="D18" s="11" t="s">
        <v>15</v>
      </c>
      <c r="E18" s="12" t="s">
        <v>11</v>
      </c>
      <c r="F18" s="13">
        <v>18.64</v>
      </c>
      <c r="G18" s="14"/>
      <c r="H18" s="15">
        <f t="shared" si="2"/>
        <v>-18.64</v>
      </c>
      <c r="I18" s="16">
        <f t="shared" si="3"/>
        <v>68223.45</v>
      </c>
    </row>
    <row r="19" ht="22.5" customHeight="1">
      <c r="A19" s="8">
        <v>45993.0</v>
      </c>
      <c r="B19" s="9" t="str">
        <f t="shared" si="1"/>
        <v>Dec-2025</v>
      </c>
      <c r="C19" s="10" t="s">
        <v>28</v>
      </c>
      <c r="D19" s="11" t="s">
        <v>17</v>
      </c>
      <c r="E19" s="12" t="s">
        <v>11</v>
      </c>
      <c r="F19" s="14"/>
      <c r="G19" s="13">
        <v>2500.0</v>
      </c>
      <c r="H19" s="15">
        <f t="shared" si="2"/>
        <v>2500</v>
      </c>
      <c r="I19" s="16">
        <f t="shared" si="3"/>
        <v>70723.45</v>
      </c>
    </row>
    <row r="20" ht="22.5" customHeight="1">
      <c r="A20" s="8">
        <v>45993.0</v>
      </c>
      <c r="B20" s="9" t="str">
        <f t="shared" si="1"/>
        <v>Dec-2025</v>
      </c>
      <c r="C20" s="18" t="s">
        <v>29</v>
      </c>
      <c r="D20" s="11" t="s">
        <v>15</v>
      </c>
      <c r="E20" s="12" t="s">
        <v>19</v>
      </c>
      <c r="F20" s="13">
        <v>400.0</v>
      </c>
      <c r="G20" s="14"/>
      <c r="H20" s="15">
        <f t="shared" si="2"/>
        <v>-400</v>
      </c>
      <c r="I20" s="16">
        <f t="shared" si="3"/>
        <v>70323.45</v>
      </c>
    </row>
    <row r="21" ht="22.5" customHeight="1">
      <c r="A21" s="8">
        <v>45993.0</v>
      </c>
      <c r="B21" s="9" t="str">
        <f t="shared" si="1"/>
        <v>Dec-2025</v>
      </c>
      <c r="C21" s="18" t="s">
        <v>29</v>
      </c>
      <c r="D21" s="11" t="s">
        <v>15</v>
      </c>
      <c r="E21" s="12" t="s">
        <v>19</v>
      </c>
      <c r="F21" s="13">
        <v>400.0</v>
      </c>
      <c r="G21" s="14"/>
      <c r="H21" s="15">
        <f t="shared" si="2"/>
        <v>-400</v>
      </c>
      <c r="I21" s="16">
        <f t="shared" si="3"/>
        <v>69923.45</v>
      </c>
    </row>
    <row r="22" ht="22.5" customHeight="1">
      <c r="A22" s="8">
        <v>45993.0</v>
      </c>
      <c r="B22" s="9" t="str">
        <f t="shared" si="1"/>
        <v>Dec-2025</v>
      </c>
      <c r="C22" s="18" t="s">
        <v>29</v>
      </c>
      <c r="D22" s="11" t="s">
        <v>15</v>
      </c>
      <c r="E22" s="12" t="s">
        <v>19</v>
      </c>
      <c r="F22" s="13">
        <v>800.0</v>
      </c>
      <c r="G22" s="14"/>
      <c r="H22" s="15">
        <f t="shared" si="2"/>
        <v>-800</v>
      </c>
      <c r="I22" s="16">
        <f t="shared" si="3"/>
        <v>69123.45</v>
      </c>
    </row>
    <row r="23" ht="22.5" customHeight="1">
      <c r="A23" s="8">
        <v>45994.0</v>
      </c>
      <c r="B23" s="9" t="str">
        <f t="shared" si="1"/>
        <v>Dec-2025</v>
      </c>
      <c r="C23" s="10" t="s">
        <v>30</v>
      </c>
      <c r="D23" s="11" t="s">
        <v>13</v>
      </c>
      <c r="E23" s="12" t="s">
        <v>11</v>
      </c>
      <c r="F23" s="13">
        <v>2147.13</v>
      </c>
      <c r="G23" s="14"/>
      <c r="H23" s="15">
        <f t="shared" si="2"/>
        <v>-2147.13</v>
      </c>
      <c r="I23" s="16">
        <f t="shared" si="3"/>
        <v>66976.32</v>
      </c>
    </row>
    <row r="24" ht="22.5" customHeight="1">
      <c r="A24" s="8">
        <v>45994.0</v>
      </c>
      <c r="B24" s="9" t="str">
        <f t="shared" si="1"/>
        <v>Dec-2025</v>
      </c>
      <c r="C24" s="18" t="s">
        <v>31</v>
      </c>
      <c r="D24" s="11" t="s">
        <v>15</v>
      </c>
      <c r="E24" s="12" t="s">
        <v>22</v>
      </c>
      <c r="F24" s="16">
        <v>502.08</v>
      </c>
      <c r="G24" s="13"/>
      <c r="H24" s="15">
        <f t="shared" si="2"/>
        <v>-502.08</v>
      </c>
      <c r="I24" s="16">
        <f t="shared" si="3"/>
        <v>66474.24</v>
      </c>
    </row>
    <row r="25" ht="22.5" customHeight="1">
      <c r="A25" s="8">
        <v>45994.0</v>
      </c>
      <c r="B25" s="9" t="str">
        <f t="shared" si="1"/>
        <v>Dec-2025</v>
      </c>
      <c r="C25" s="18" t="s">
        <v>32</v>
      </c>
      <c r="D25" s="11" t="s">
        <v>15</v>
      </c>
      <c r="E25" s="12" t="s">
        <v>22</v>
      </c>
      <c r="F25" s="16">
        <v>423.0</v>
      </c>
      <c r="G25" s="13"/>
      <c r="H25" s="15">
        <f t="shared" si="2"/>
        <v>-423</v>
      </c>
      <c r="I25" s="16">
        <f t="shared" si="3"/>
        <v>66051.24</v>
      </c>
    </row>
    <row r="26" ht="22.5" customHeight="1">
      <c r="A26" s="8">
        <v>45995.0</v>
      </c>
      <c r="B26" s="9" t="str">
        <f t="shared" si="1"/>
        <v>Dec-2025</v>
      </c>
      <c r="C26" s="10" t="s">
        <v>30</v>
      </c>
      <c r="D26" s="11" t="s">
        <v>13</v>
      </c>
      <c r="E26" s="12" t="s">
        <v>11</v>
      </c>
      <c r="F26" s="13">
        <v>419.19</v>
      </c>
      <c r="G26" s="14"/>
      <c r="H26" s="15">
        <f t="shared" si="2"/>
        <v>-419.19</v>
      </c>
      <c r="I26" s="16">
        <f t="shared" si="3"/>
        <v>65632.05</v>
      </c>
    </row>
    <row r="27" ht="22.5" customHeight="1">
      <c r="A27" s="8">
        <v>45995.0</v>
      </c>
      <c r="B27" s="9" t="str">
        <f t="shared" si="1"/>
        <v>Dec-2025</v>
      </c>
      <c r="C27" s="10" t="s">
        <v>33</v>
      </c>
      <c r="D27" s="11" t="s">
        <v>15</v>
      </c>
      <c r="E27" s="12" t="s">
        <v>11</v>
      </c>
      <c r="F27" s="14"/>
      <c r="G27" s="13">
        <v>1.0</v>
      </c>
      <c r="H27" s="15">
        <f t="shared" si="2"/>
        <v>1</v>
      </c>
      <c r="I27" s="16">
        <f t="shared" si="3"/>
        <v>65633.05</v>
      </c>
    </row>
    <row r="28" ht="22.5" customHeight="1">
      <c r="A28" s="8">
        <v>45995.0</v>
      </c>
      <c r="B28" s="9" t="str">
        <f t="shared" si="1"/>
        <v>Dec-2025</v>
      </c>
      <c r="C28" s="18" t="s">
        <v>34</v>
      </c>
      <c r="D28" s="11" t="s">
        <v>15</v>
      </c>
      <c r="E28" s="12" t="s">
        <v>22</v>
      </c>
      <c r="F28" s="16">
        <v>800.0</v>
      </c>
      <c r="G28" s="13"/>
      <c r="H28" s="15">
        <f t="shared" si="2"/>
        <v>-800</v>
      </c>
      <c r="I28" s="16">
        <f t="shared" si="3"/>
        <v>64833.05</v>
      </c>
    </row>
    <row r="29" ht="22.5" customHeight="1">
      <c r="A29" s="8">
        <v>45995.0</v>
      </c>
      <c r="B29" s="9" t="str">
        <f t="shared" si="1"/>
        <v>Dec-2025</v>
      </c>
      <c r="C29" s="18" t="s">
        <v>35</v>
      </c>
      <c r="D29" s="11" t="s">
        <v>15</v>
      </c>
      <c r="E29" s="12" t="s">
        <v>22</v>
      </c>
      <c r="F29" s="16">
        <v>200.0</v>
      </c>
      <c r="G29" s="13"/>
      <c r="H29" s="15">
        <f t="shared" si="2"/>
        <v>-200</v>
      </c>
      <c r="I29" s="16">
        <f t="shared" si="3"/>
        <v>64633.05</v>
      </c>
    </row>
    <row r="30" ht="22.5" customHeight="1">
      <c r="A30" s="8">
        <v>45997.0</v>
      </c>
      <c r="B30" s="9" t="str">
        <f t="shared" si="1"/>
        <v>Dec-2025</v>
      </c>
      <c r="C30" s="10" t="s">
        <v>9</v>
      </c>
      <c r="D30" s="11" t="s">
        <v>10</v>
      </c>
      <c r="E30" s="12" t="s">
        <v>11</v>
      </c>
      <c r="F30" s="13">
        <v>637.0</v>
      </c>
      <c r="G30" s="14"/>
      <c r="H30" s="15">
        <f t="shared" si="2"/>
        <v>-637</v>
      </c>
      <c r="I30" s="16">
        <f t="shared" si="3"/>
        <v>63996.05</v>
      </c>
    </row>
    <row r="31" ht="22.5" customHeight="1">
      <c r="A31" s="8">
        <v>45997.0</v>
      </c>
      <c r="B31" s="9" t="str">
        <f t="shared" si="1"/>
        <v>Dec-2025</v>
      </c>
      <c r="C31" s="10" t="s">
        <v>36</v>
      </c>
      <c r="D31" s="11" t="s">
        <v>15</v>
      </c>
      <c r="E31" s="12" t="s">
        <v>11</v>
      </c>
      <c r="F31" s="13">
        <v>3540.0</v>
      </c>
      <c r="G31" s="14"/>
      <c r="H31" s="15">
        <f t="shared" si="2"/>
        <v>-3540</v>
      </c>
      <c r="I31" s="16">
        <f t="shared" si="3"/>
        <v>60456.05</v>
      </c>
    </row>
    <row r="32" ht="22.5" customHeight="1">
      <c r="A32" s="8">
        <v>45997.0</v>
      </c>
      <c r="B32" s="9" t="str">
        <f t="shared" si="1"/>
        <v>Dec-2025</v>
      </c>
      <c r="C32" s="18" t="s">
        <v>37</v>
      </c>
      <c r="D32" s="11" t="s">
        <v>15</v>
      </c>
      <c r="E32" s="12" t="s">
        <v>19</v>
      </c>
      <c r="F32" s="13">
        <v>260.33</v>
      </c>
      <c r="G32" s="14"/>
      <c r="H32" s="15">
        <f t="shared" si="2"/>
        <v>-260.33</v>
      </c>
      <c r="I32" s="16">
        <f t="shared" si="3"/>
        <v>60195.72</v>
      </c>
    </row>
    <row r="33" ht="22.5" customHeight="1">
      <c r="A33" s="8">
        <v>45997.0</v>
      </c>
      <c r="B33" s="9" t="str">
        <f t="shared" si="1"/>
        <v>Dec-2025</v>
      </c>
      <c r="C33" s="18" t="s">
        <v>38</v>
      </c>
      <c r="D33" s="11" t="s">
        <v>10</v>
      </c>
      <c r="E33" s="12" t="s">
        <v>22</v>
      </c>
      <c r="F33" s="16"/>
      <c r="G33" s="16">
        <v>637.0</v>
      </c>
      <c r="H33" s="15">
        <f t="shared" si="2"/>
        <v>637</v>
      </c>
      <c r="I33" s="16">
        <f t="shared" si="3"/>
        <v>60832.72</v>
      </c>
    </row>
    <row r="34" ht="22.5" customHeight="1">
      <c r="A34" s="8">
        <v>45997.0</v>
      </c>
      <c r="B34" s="9" t="str">
        <f t="shared" si="1"/>
        <v>Dec-2025</v>
      </c>
      <c r="C34" s="18" t="s">
        <v>39</v>
      </c>
      <c r="D34" s="11" t="s">
        <v>15</v>
      </c>
      <c r="E34" s="12" t="s">
        <v>22</v>
      </c>
      <c r="F34" s="16">
        <v>14.0</v>
      </c>
      <c r="G34" s="13"/>
      <c r="H34" s="15">
        <f t="shared" si="2"/>
        <v>-14</v>
      </c>
      <c r="I34" s="16">
        <f t="shared" si="3"/>
        <v>60818.72</v>
      </c>
    </row>
    <row r="35" ht="22.5" customHeight="1">
      <c r="A35" s="8">
        <v>45997.0</v>
      </c>
      <c r="B35" s="9" t="str">
        <f t="shared" si="1"/>
        <v>Dec-2025</v>
      </c>
      <c r="C35" s="18" t="s">
        <v>39</v>
      </c>
      <c r="D35" s="11" t="s">
        <v>15</v>
      </c>
      <c r="E35" s="12" t="s">
        <v>22</v>
      </c>
      <c r="F35" s="16">
        <v>14.0</v>
      </c>
      <c r="G35" s="13"/>
      <c r="H35" s="15">
        <f t="shared" si="2"/>
        <v>-14</v>
      </c>
      <c r="I35" s="16">
        <f t="shared" si="3"/>
        <v>60804.72</v>
      </c>
    </row>
    <row r="36" ht="22.5" customHeight="1">
      <c r="A36" s="8">
        <v>45997.0</v>
      </c>
      <c r="B36" s="9" t="str">
        <f t="shared" si="1"/>
        <v>Dec-2025</v>
      </c>
      <c r="C36" s="18" t="s">
        <v>40</v>
      </c>
      <c r="D36" s="11" t="s">
        <v>15</v>
      </c>
      <c r="E36" s="12" t="s">
        <v>22</v>
      </c>
      <c r="F36" s="16">
        <v>1363.0</v>
      </c>
      <c r="G36" s="13"/>
      <c r="H36" s="15">
        <f t="shared" si="2"/>
        <v>-1363</v>
      </c>
      <c r="I36" s="16">
        <f t="shared" si="3"/>
        <v>59441.72</v>
      </c>
    </row>
    <row r="37" ht="22.5" customHeight="1">
      <c r="A37" s="8">
        <v>45999.0</v>
      </c>
      <c r="B37" s="9" t="str">
        <f t="shared" si="1"/>
        <v>Dec-2025</v>
      </c>
      <c r="C37" s="10" t="s">
        <v>9</v>
      </c>
      <c r="D37" s="11" t="s">
        <v>10</v>
      </c>
      <c r="E37" s="12" t="s">
        <v>11</v>
      </c>
      <c r="F37" s="13">
        <v>260.33</v>
      </c>
      <c r="G37" s="14"/>
      <c r="H37" s="15">
        <f t="shared" si="2"/>
        <v>-260.33</v>
      </c>
      <c r="I37" s="16">
        <f t="shared" si="3"/>
        <v>59181.39</v>
      </c>
    </row>
    <row r="38" ht="22.5" customHeight="1">
      <c r="A38" s="8">
        <v>45999.0</v>
      </c>
      <c r="B38" s="9" t="str">
        <f t="shared" si="1"/>
        <v>Dec-2025</v>
      </c>
      <c r="C38" s="10" t="s">
        <v>9</v>
      </c>
      <c r="D38" s="11" t="s">
        <v>10</v>
      </c>
      <c r="E38" s="12" t="s">
        <v>11</v>
      </c>
      <c r="F38" s="13">
        <v>377.0</v>
      </c>
      <c r="G38" s="14"/>
      <c r="H38" s="15">
        <f t="shared" si="2"/>
        <v>-377</v>
      </c>
      <c r="I38" s="16">
        <f t="shared" si="3"/>
        <v>58804.39</v>
      </c>
    </row>
    <row r="39" ht="22.5" customHeight="1">
      <c r="A39" s="8">
        <v>45999.0</v>
      </c>
      <c r="B39" s="9" t="str">
        <f t="shared" si="1"/>
        <v>Dec-2025</v>
      </c>
      <c r="C39" s="10" t="s">
        <v>41</v>
      </c>
      <c r="D39" s="11" t="s">
        <v>13</v>
      </c>
      <c r="E39" s="12" t="s">
        <v>11</v>
      </c>
      <c r="F39" s="13">
        <v>500.0</v>
      </c>
      <c r="G39" s="14"/>
      <c r="H39" s="15">
        <f t="shared" si="2"/>
        <v>-500</v>
      </c>
      <c r="I39" s="16">
        <f t="shared" si="3"/>
        <v>58304.39</v>
      </c>
    </row>
    <row r="40" ht="22.5" customHeight="1">
      <c r="A40" s="8">
        <v>45999.0</v>
      </c>
      <c r="B40" s="9" t="str">
        <f t="shared" si="1"/>
        <v>Dec-2025</v>
      </c>
      <c r="C40" s="10" t="s">
        <v>30</v>
      </c>
      <c r="D40" s="11" t="s">
        <v>13</v>
      </c>
      <c r="E40" s="12" t="s">
        <v>11</v>
      </c>
      <c r="F40" s="13">
        <v>855.53</v>
      </c>
      <c r="G40" s="14"/>
      <c r="H40" s="15">
        <f t="shared" si="2"/>
        <v>-855.53</v>
      </c>
      <c r="I40" s="16">
        <f t="shared" si="3"/>
        <v>57448.86</v>
      </c>
    </row>
    <row r="41" ht="22.5" customHeight="1">
      <c r="A41" s="8">
        <v>45999.0</v>
      </c>
      <c r="B41" s="9" t="str">
        <f t="shared" si="1"/>
        <v>Dec-2025</v>
      </c>
      <c r="C41" s="10" t="s">
        <v>42</v>
      </c>
      <c r="D41" s="11" t="s">
        <v>15</v>
      </c>
      <c r="E41" s="12" t="s">
        <v>11</v>
      </c>
      <c r="F41" s="13">
        <v>176.89</v>
      </c>
      <c r="G41" s="14"/>
      <c r="H41" s="15">
        <f t="shared" si="2"/>
        <v>-176.89</v>
      </c>
      <c r="I41" s="16">
        <f t="shared" si="3"/>
        <v>57271.97</v>
      </c>
    </row>
    <row r="42" ht="22.5" customHeight="1">
      <c r="A42" s="8">
        <v>45999.0</v>
      </c>
      <c r="B42" s="9" t="str">
        <f t="shared" si="1"/>
        <v>Dec-2025</v>
      </c>
      <c r="C42" s="10" t="s">
        <v>43</v>
      </c>
      <c r="D42" s="11" t="s">
        <v>17</v>
      </c>
      <c r="E42" s="12" t="s">
        <v>11</v>
      </c>
      <c r="F42" s="14"/>
      <c r="G42" s="13">
        <v>11340.0</v>
      </c>
      <c r="H42" s="15">
        <f t="shared" si="2"/>
        <v>11340</v>
      </c>
      <c r="I42" s="16">
        <f t="shared" si="3"/>
        <v>68611.97</v>
      </c>
    </row>
    <row r="43" ht="22.5" customHeight="1">
      <c r="A43" s="8">
        <v>45999.0</v>
      </c>
      <c r="B43" s="9" t="str">
        <f t="shared" si="1"/>
        <v>Dec-2025</v>
      </c>
      <c r="C43" s="18" t="s">
        <v>44</v>
      </c>
      <c r="D43" s="11" t="s">
        <v>15</v>
      </c>
      <c r="E43" s="12" t="s">
        <v>19</v>
      </c>
      <c r="F43" s="14"/>
      <c r="G43" s="14">
        <v>260.33</v>
      </c>
      <c r="H43" s="15">
        <f t="shared" si="2"/>
        <v>260.33</v>
      </c>
      <c r="I43" s="16">
        <f t="shared" si="3"/>
        <v>68872.3</v>
      </c>
    </row>
    <row r="44" ht="22.5" customHeight="1">
      <c r="A44" s="8">
        <v>45999.0</v>
      </c>
      <c r="B44" s="9" t="str">
        <f t="shared" si="1"/>
        <v>Dec-2025</v>
      </c>
      <c r="C44" s="18" t="s">
        <v>45</v>
      </c>
      <c r="D44" s="11" t="s">
        <v>15</v>
      </c>
      <c r="E44" s="12" t="s">
        <v>19</v>
      </c>
      <c r="F44" s="14"/>
      <c r="G44" s="14">
        <v>13.02</v>
      </c>
      <c r="H44" s="15">
        <f t="shared" si="2"/>
        <v>13.02</v>
      </c>
      <c r="I44" s="16">
        <f t="shared" si="3"/>
        <v>68885.32</v>
      </c>
    </row>
    <row r="45" ht="22.5" customHeight="1">
      <c r="A45" s="8">
        <v>45999.0</v>
      </c>
      <c r="B45" s="9" t="str">
        <f t="shared" si="1"/>
        <v>Dec-2025</v>
      </c>
      <c r="C45" s="18" t="s">
        <v>46</v>
      </c>
      <c r="D45" s="11" t="s">
        <v>10</v>
      </c>
      <c r="E45" s="12" t="s">
        <v>22</v>
      </c>
      <c r="F45" s="16"/>
      <c r="G45" s="16">
        <v>377.0</v>
      </c>
      <c r="H45" s="15">
        <f t="shared" si="2"/>
        <v>377</v>
      </c>
      <c r="I45" s="16">
        <f t="shared" si="3"/>
        <v>69262.32</v>
      </c>
    </row>
    <row r="46" ht="22.5" customHeight="1">
      <c r="A46" s="8">
        <v>45999.0</v>
      </c>
      <c r="B46" s="9" t="str">
        <f t="shared" si="1"/>
        <v>Dec-2025</v>
      </c>
      <c r="C46" s="18" t="s">
        <v>47</v>
      </c>
      <c r="D46" s="11" t="s">
        <v>10</v>
      </c>
      <c r="E46" s="12" t="s">
        <v>22</v>
      </c>
      <c r="F46" s="16"/>
      <c r="G46" s="16">
        <v>2.0</v>
      </c>
      <c r="H46" s="15">
        <f t="shared" si="2"/>
        <v>2</v>
      </c>
      <c r="I46" s="16">
        <f t="shared" si="3"/>
        <v>69264.32</v>
      </c>
    </row>
    <row r="47" ht="22.5" customHeight="1">
      <c r="A47" s="8">
        <v>45999.0</v>
      </c>
      <c r="B47" s="9" t="str">
        <f t="shared" si="1"/>
        <v>Dec-2025</v>
      </c>
      <c r="C47" s="18" t="s">
        <v>47</v>
      </c>
      <c r="D47" s="11" t="s">
        <v>15</v>
      </c>
      <c r="E47" s="12" t="s">
        <v>22</v>
      </c>
      <c r="F47" s="16">
        <v>2.0</v>
      </c>
      <c r="G47" s="13"/>
      <c r="H47" s="15">
        <f t="shared" si="2"/>
        <v>-2</v>
      </c>
      <c r="I47" s="16">
        <f t="shared" si="3"/>
        <v>69262.32</v>
      </c>
    </row>
    <row r="48" ht="22.5" customHeight="1">
      <c r="A48" s="8">
        <v>46000.0</v>
      </c>
      <c r="B48" s="9" t="str">
        <f t="shared" si="1"/>
        <v>Dec-2025</v>
      </c>
      <c r="C48" s="10" t="s">
        <v>48</v>
      </c>
      <c r="D48" s="11" t="s">
        <v>17</v>
      </c>
      <c r="E48" s="12" t="s">
        <v>11</v>
      </c>
      <c r="F48" s="14"/>
      <c r="G48" s="13">
        <v>45.0</v>
      </c>
      <c r="H48" s="15">
        <f t="shared" si="2"/>
        <v>45</v>
      </c>
      <c r="I48" s="16">
        <f t="shared" si="3"/>
        <v>69307.32</v>
      </c>
    </row>
    <row r="49" ht="22.5" customHeight="1">
      <c r="A49" s="8">
        <v>46001.0</v>
      </c>
      <c r="B49" s="9" t="str">
        <f t="shared" si="1"/>
        <v>Dec-2025</v>
      </c>
      <c r="C49" s="18" t="s">
        <v>49</v>
      </c>
      <c r="D49" s="11" t="s">
        <v>15</v>
      </c>
      <c r="E49" s="12" t="s">
        <v>22</v>
      </c>
      <c r="F49" s="16">
        <v>449.0</v>
      </c>
      <c r="G49" s="13"/>
      <c r="H49" s="15">
        <f t="shared" si="2"/>
        <v>-449</v>
      </c>
      <c r="I49" s="16">
        <f t="shared" si="3"/>
        <v>68858.32</v>
      </c>
    </row>
    <row r="50" ht="22.5" customHeight="1">
      <c r="A50" s="8">
        <v>46002.0</v>
      </c>
      <c r="B50" s="9" t="str">
        <f t="shared" si="1"/>
        <v>Dec-2025</v>
      </c>
      <c r="C50" s="10" t="s">
        <v>9</v>
      </c>
      <c r="D50" s="11" t="s">
        <v>10</v>
      </c>
      <c r="E50" s="12" t="s">
        <v>11</v>
      </c>
      <c r="F50" s="13">
        <v>451.08</v>
      </c>
      <c r="G50" s="14"/>
      <c r="H50" s="15">
        <f t="shared" si="2"/>
        <v>-451.08</v>
      </c>
      <c r="I50" s="16">
        <f t="shared" si="3"/>
        <v>68407.24</v>
      </c>
    </row>
    <row r="51" ht="22.5" customHeight="1">
      <c r="A51" s="8">
        <v>46002.0</v>
      </c>
      <c r="B51" s="9" t="str">
        <f t="shared" si="1"/>
        <v>Dec-2025</v>
      </c>
      <c r="C51" s="10" t="s">
        <v>9</v>
      </c>
      <c r="D51" s="11" t="s">
        <v>10</v>
      </c>
      <c r="E51" s="12" t="s">
        <v>11</v>
      </c>
      <c r="F51" s="13">
        <v>160.36</v>
      </c>
      <c r="G51" s="14"/>
      <c r="H51" s="15">
        <f t="shared" si="2"/>
        <v>-160.36</v>
      </c>
      <c r="I51" s="16">
        <f t="shared" si="3"/>
        <v>68246.88</v>
      </c>
    </row>
    <row r="52" ht="22.5" customHeight="1">
      <c r="A52" s="8">
        <v>46002.0</v>
      </c>
      <c r="B52" s="9" t="str">
        <f t="shared" si="1"/>
        <v>Dec-2025</v>
      </c>
      <c r="C52" s="10" t="s">
        <v>50</v>
      </c>
      <c r="D52" s="11" t="s">
        <v>51</v>
      </c>
      <c r="E52" s="12" t="s">
        <v>11</v>
      </c>
      <c r="F52" s="13">
        <v>50000.0</v>
      </c>
      <c r="G52" s="14"/>
      <c r="H52" s="15">
        <f t="shared" si="2"/>
        <v>-50000</v>
      </c>
      <c r="I52" s="16">
        <f t="shared" si="3"/>
        <v>18246.88</v>
      </c>
    </row>
    <row r="53" ht="22.5" customHeight="1">
      <c r="A53" s="8">
        <v>46002.0</v>
      </c>
      <c r="B53" s="9" t="str">
        <f t="shared" si="1"/>
        <v>Dec-2025</v>
      </c>
      <c r="C53" s="10" t="s">
        <v>52</v>
      </c>
      <c r="D53" s="11" t="s">
        <v>51</v>
      </c>
      <c r="E53" s="12" t="s">
        <v>11</v>
      </c>
      <c r="F53" s="13">
        <v>80000.0</v>
      </c>
      <c r="G53" s="14"/>
      <c r="H53" s="15">
        <f t="shared" si="2"/>
        <v>-80000</v>
      </c>
      <c r="I53" s="16">
        <f t="shared" si="3"/>
        <v>-61753.12</v>
      </c>
    </row>
    <row r="54" ht="22.5" customHeight="1">
      <c r="A54" s="8">
        <v>46002.0</v>
      </c>
      <c r="B54" s="9" t="str">
        <f t="shared" si="1"/>
        <v>Dec-2025</v>
      </c>
      <c r="C54" s="10" t="s">
        <v>53</v>
      </c>
      <c r="D54" s="11" t="s">
        <v>51</v>
      </c>
      <c r="E54" s="12" t="s">
        <v>11</v>
      </c>
      <c r="F54" s="14"/>
      <c r="G54" s="13">
        <v>80000.0</v>
      </c>
      <c r="H54" s="15">
        <f t="shared" si="2"/>
        <v>80000</v>
      </c>
      <c r="I54" s="16">
        <f t="shared" si="3"/>
        <v>18246.88</v>
      </c>
    </row>
    <row r="55" ht="22.5" customHeight="1">
      <c r="A55" s="19">
        <v>46002.0</v>
      </c>
      <c r="B55" s="9" t="str">
        <f t="shared" si="1"/>
        <v>Dec-2025</v>
      </c>
      <c r="C55" s="18" t="s">
        <v>54</v>
      </c>
      <c r="D55" s="11" t="s">
        <v>15</v>
      </c>
      <c r="E55" s="12" t="s">
        <v>19</v>
      </c>
      <c r="F55" s="13">
        <v>152.73</v>
      </c>
      <c r="G55" s="13"/>
      <c r="H55" s="15">
        <f t="shared" si="2"/>
        <v>-152.73</v>
      </c>
      <c r="I55" s="16">
        <f t="shared" si="3"/>
        <v>18094.15</v>
      </c>
    </row>
    <row r="56" ht="22.5" customHeight="1">
      <c r="A56" s="8">
        <v>46002.0</v>
      </c>
      <c r="B56" s="9" t="str">
        <f t="shared" si="1"/>
        <v>Dec-2025</v>
      </c>
      <c r="C56" s="18" t="s">
        <v>55</v>
      </c>
      <c r="D56" s="11" t="s">
        <v>15</v>
      </c>
      <c r="E56" s="12" t="s">
        <v>19</v>
      </c>
      <c r="F56" s="14"/>
      <c r="G56" s="14">
        <v>160.36</v>
      </c>
      <c r="H56" s="15">
        <f t="shared" si="2"/>
        <v>160.36</v>
      </c>
      <c r="I56" s="16">
        <f t="shared" si="3"/>
        <v>18254.51</v>
      </c>
    </row>
    <row r="57" ht="22.5" customHeight="1">
      <c r="A57" s="19">
        <v>46002.0</v>
      </c>
      <c r="B57" s="9" t="str">
        <f t="shared" si="1"/>
        <v>Dec-2025</v>
      </c>
      <c r="C57" s="18" t="s">
        <v>37</v>
      </c>
      <c r="D57" s="11" t="s">
        <v>15</v>
      </c>
      <c r="E57" s="12" t="s">
        <v>19</v>
      </c>
      <c r="F57" s="13">
        <v>520.65</v>
      </c>
      <c r="G57" s="13"/>
      <c r="H57" s="15">
        <f t="shared" si="2"/>
        <v>-520.65</v>
      </c>
      <c r="I57" s="16">
        <f t="shared" si="3"/>
        <v>17733.86</v>
      </c>
    </row>
    <row r="58" ht="22.5" customHeight="1">
      <c r="A58" s="8">
        <v>46002.0</v>
      </c>
      <c r="B58" s="9" t="str">
        <f t="shared" si="1"/>
        <v>Dec-2025</v>
      </c>
      <c r="C58" s="18" t="s">
        <v>56</v>
      </c>
      <c r="D58" s="11" t="s">
        <v>10</v>
      </c>
      <c r="E58" s="12" t="s">
        <v>22</v>
      </c>
      <c r="F58" s="16"/>
      <c r="G58" s="16">
        <v>451.08</v>
      </c>
      <c r="H58" s="15">
        <f t="shared" si="2"/>
        <v>451.08</v>
      </c>
      <c r="I58" s="16">
        <f t="shared" si="3"/>
        <v>18184.94</v>
      </c>
    </row>
    <row r="59" ht="22.5" customHeight="1">
      <c r="A59" s="8">
        <v>46003.0</v>
      </c>
      <c r="B59" s="9" t="str">
        <f t="shared" si="1"/>
        <v>Dec-2025</v>
      </c>
      <c r="C59" s="18" t="s">
        <v>57</v>
      </c>
      <c r="D59" s="11" t="s">
        <v>15</v>
      </c>
      <c r="E59" s="12" t="s">
        <v>22</v>
      </c>
      <c r="F59" s="16">
        <v>400.0</v>
      </c>
      <c r="G59" s="13"/>
      <c r="H59" s="15">
        <f t="shared" si="2"/>
        <v>-400</v>
      </c>
      <c r="I59" s="16">
        <f t="shared" si="3"/>
        <v>17784.94</v>
      </c>
    </row>
    <row r="60" ht="22.5" customHeight="1">
      <c r="A60" s="8">
        <v>46003.0</v>
      </c>
      <c r="B60" s="9" t="str">
        <f t="shared" si="1"/>
        <v>Dec-2025</v>
      </c>
      <c r="C60" s="18" t="s">
        <v>57</v>
      </c>
      <c r="D60" s="11" t="s">
        <v>15</v>
      </c>
      <c r="E60" s="12" t="s">
        <v>22</v>
      </c>
      <c r="F60" s="16">
        <v>10.0</v>
      </c>
      <c r="G60" s="13"/>
      <c r="H60" s="15">
        <f t="shared" si="2"/>
        <v>-10</v>
      </c>
      <c r="I60" s="16">
        <f t="shared" si="3"/>
        <v>17774.94</v>
      </c>
    </row>
    <row r="61" ht="22.5" customHeight="1">
      <c r="A61" s="8">
        <v>46003.0</v>
      </c>
      <c r="B61" s="9" t="str">
        <f t="shared" si="1"/>
        <v>Dec-2025</v>
      </c>
      <c r="C61" s="18" t="s">
        <v>32</v>
      </c>
      <c r="D61" s="11" t="s">
        <v>15</v>
      </c>
      <c r="E61" s="12" t="s">
        <v>22</v>
      </c>
      <c r="F61" s="16">
        <v>377.0</v>
      </c>
      <c r="G61" s="13"/>
      <c r="H61" s="15">
        <f t="shared" si="2"/>
        <v>-377</v>
      </c>
      <c r="I61" s="16">
        <f t="shared" si="3"/>
        <v>17397.94</v>
      </c>
    </row>
    <row r="62" ht="22.5" customHeight="1">
      <c r="A62" s="8">
        <v>46004.0</v>
      </c>
      <c r="B62" s="9" t="str">
        <f t="shared" si="1"/>
        <v>Dec-2025</v>
      </c>
      <c r="C62" s="10" t="s">
        <v>9</v>
      </c>
      <c r="D62" s="11" t="s">
        <v>10</v>
      </c>
      <c r="E62" s="12" t="s">
        <v>11</v>
      </c>
      <c r="F62" s="13">
        <v>7787.0</v>
      </c>
      <c r="G62" s="14"/>
      <c r="H62" s="15">
        <f t="shared" si="2"/>
        <v>-7787</v>
      </c>
      <c r="I62" s="16">
        <f t="shared" si="3"/>
        <v>9610.94</v>
      </c>
    </row>
    <row r="63" ht="22.5" customHeight="1">
      <c r="A63" s="8">
        <v>46004.0</v>
      </c>
      <c r="B63" s="9" t="str">
        <f t="shared" si="1"/>
        <v>Dec-2025</v>
      </c>
      <c r="C63" s="10" t="s">
        <v>9</v>
      </c>
      <c r="D63" s="11" t="s">
        <v>10</v>
      </c>
      <c r="E63" s="12" t="s">
        <v>11</v>
      </c>
      <c r="F63" s="13">
        <v>1500.0</v>
      </c>
      <c r="G63" s="14"/>
      <c r="H63" s="15">
        <f t="shared" si="2"/>
        <v>-1500</v>
      </c>
      <c r="I63" s="16">
        <f t="shared" si="3"/>
        <v>8110.94</v>
      </c>
    </row>
    <row r="64" ht="22.5" customHeight="1">
      <c r="A64" s="8">
        <v>46004.0</v>
      </c>
      <c r="B64" s="9" t="str">
        <f t="shared" si="1"/>
        <v>Dec-2025</v>
      </c>
      <c r="C64" s="10" t="s">
        <v>9</v>
      </c>
      <c r="D64" s="11" t="s">
        <v>10</v>
      </c>
      <c r="E64" s="12" t="s">
        <v>11</v>
      </c>
      <c r="F64" s="13">
        <v>1301.32</v>
      </c>
      <c r="G64" s="14"/>
      <c r="H64" s="15">
        <f t="shared" si="2"/>
        <v>-1301.32</v>
      </c>
      <c r="I64" s="16">
        <f t="shared" si="3"/>
        <v>6809.62</v>
      </c>
    </row>
    <row r="65" ht="22.5" customHeight="1">
      <c r="A65" s="8">
        <v>46004.0</v>
      </c>
      <c r="B65" s="9" t="str">
        <f t="shared" si="1"/>
        <v>Dec-2025</v>
      </c>
      <c r="C65" s="10" t="s">
        <v>58</v>
      </c>
      <c r="D65" s="11" t="s">
        <v>17</v>
      </c>
      <c r="E65" s="12" t="s">
        <v>11</v>
      </c>
      <c r="F65" s="14"/>
      <c r="G65" s="13">
        <v>25000.0</v>
      </c>
      <c r="H65" s="15">
        <f t="shared" si="2"/>
        <v>25000</v>
      </c>
      <c r="I65" s="16">
        <f t="shared" si="3"/>
        <v>31809.62</v>
      </c>
    </row>
    <row r="66" ht="22.5" customHeight="1">
      <c r="A66" s="19">
        <v>46004.0</v>
      </c>
      <c r="B66" s="9" t="str">
        <f t="shared" si="1"/>
        <v>Dec-2025</v>
      </c>
      <c r="C66" s="18" t="s">
        <v>59</v>
      </c>
      <c r="D66" s="11" t="s">
        <v>10</v>
      </c>
      <c r="E66" s="12" t="s">
        <v>19</v>
      </c>
      <c r="F66" s="13"/>
      <c r="G66" s="13">
        <v>1301.32</v>
      </c>
      <c r="H66" s="15">
        <f t="shared" si="2"/>
        <v>1301.32</v>
      </c>
      <c r="I66" s="16">
        <f t="shared" si="3"/>
        <v>33110.94</v>
      </c>
    </row>
    <row r="67" ht="22.5" customHeight="1">
      <c r="A67" s="19">
        <v>46004.0</v>
      </c>
      <c r="B67" s="9" t="str">
        <f t="shared" si="1"/>
        <v>Dec-2025</v>
      </c>
      <c r="C67" s="18" t="s">
        <v>37</v>
      </c>
      <c r="D67" s="11" t="s">
        <v>15</v>
      </c>
      <c r="E67" s="12" t="s">
        <v>19</v>
      </c>
      <c r="F67" s="13">
        <v>260.33</v>
      </c>
      <c r="G67" s="13"/>
      <c r="H67" s="15">
        <f t="shared" si="2"/>
        <v>-260.33</v>
      </c>
      <c r="I67" s="16">
        <f t="shared" si="3"/>
        <v>32850.61</v>
      </c>
    </row>
    <row r="68" ht="22.5" customHeight="1">
      <c r="A68" s="19">
        <v>46004.0</v>
      </c>
      <c r="B68" s="9" t="str">
        <f t="shared" si="1"/>
        <v>Dec-2025</v>
      </c>
      <c r="C68" s="18" t="s">
        <v>37</v>
      </c>
      <c r="D68" s="11" t="s">
        <v>15</v>
      </c>
      <c r="E68" s="12" t="s">
        <v>19</v>
      </c>
      <c r="F68" s="13">
        <v>260.33</v>
      </c>
      <c r="G68" s="13"/>
      <c r="H68" s="15">
        <f t="shared" si="2"/>
        <v>-260.33</v>
      </c>
      <c r="I68" s="16">
        <f t="shared" si="3"/>
        <v>32590.28</v>
      </c>
    </row>
    <row r="69" ht="22.5" customHeight="1">
      <c r="A69" s="19">
        <v>46004.0</v>
      </c>
      <c r="B69" s="9" t="str">
        <f t="shared" si="1"/>
        <v>Dec-2025</v>
      </c>
      <c r="C69" s="18" t="s">
        <v>60</v>
      </c>
      <c r="D69" s="11" t="s">
        <v>15</v>
      </c>
      <c r="E69" s="12" t="s">
        <v>19</v>
      </c>
      <c r="F69" s="13">
        <v>1049.3</v>
      </c>
      <c r="G69" s="13"/>
      <c r="H69" s="15">
        <f t="shared" si="2"/>
        <v>-1049.3</v>
      </c>
      <c r="I69" s="16">
        <f t="shared" si="3"/>
        <v>31540.98</v>
      </c>
    </row>
    <row r="70" ht="22.5" customHeight="1">
      <c r="A70" s="19">
        <v>46004.0</v>
      </c>
      <c r="B70" s="9" t="str">
        <f t="shared" si="1"/>
        <v>Dec-2025</v>
      </c>
      <c r="C70" s="18" t="s">
        <v>61</v>
      </c>
      <c r="D70" s="11" t="s">
        <v>15</v>
      </c>
      <c r="E70" s="12" t="s">
        <v>19</v>
      </c>
      <c r="F70" s="13">
        <v>1251.93</v>
      </c>
      <c r="G70" s="13"/>
      <c r="H70" s="15">
        <f t="shared" si="2"/>
        <v>-1251.93</v>
      </c>
      <c r="I70" s="16">
        <f t="shared" si="3"/>
        <v>30289.05</v>
      </c>
    </row>
    <row r="71" ht="22.5" customHeight="1">
      <c r="A71" s="19">
        <v>46004.0</v>
      </c>
      <c r="B71" s="9" t="str">
        <f t="shared" si="1"/>
        <v>Dec-2025</v>
      </c>
      <c r="C71" s="18" t="s">
        <v>45</v>
      </c>
      <c r="D71" s="11" t="s">
        <v>15</v>
      </c>
      <c r="E71" s="12" t="s">
        <v>19</v>
      </c>
      <c r="F71" s="13"/>
      <c r="G71" s="13">
        <v>26.03</v>
      </c>
      <c r="H71" s="15">
        <f t="shared" si="2"/>
        <v>26.03</v>
      </c>
      <c r="I71" s="16">
        <f t="shared" si="3"/>
        <v>30315.08</v>
      </c>
    </row>
    <row r="72" ht="22.5" customHeight="1">
      <c r="A72" s="8">
        <v>46004.0</v>
      </c>
      <c r="B72" s="9" t="str">
        <f t="shared" si="1"/>
        <v>Dec-2025</v>
      </c>
      <c r="C72" s="18" t="s">
        <v>62</v>
      </c>
      <c r="D72" s="11" t="s">
        <v>10</v>
      </c>
      <c r="E72" s="12" t="s">
        <v>22</v>
      </c>
      <c r="F72" s="16"/>
      <c r="G72" s="16">
        <v>7787.0</v>
      </c>
      <c r="H72" s="15">
        <f t="shared" si="2"/>
        <v>7787</v>
      </c>
      <c r="I72" s="16">
        <f t="shared" si="3"/>
        <v>38102.08</v>
      </c>
    </row>
    <row r="73" ht="22.5" customHeight="1">
      <c r="A73" s="8">
        <v>46004.0</v>
      </c>
      <c r="B73" s="9" t="str">
        <f t="shared" si="1"/>
        <v>Dec-2025</v>
      </c>
      <c r="C73" s="18" t="s">
        <v>63</v>
      </c>
      <c r="D73" s="11" t="s">
        <v>10</v>
      </c>
      <c r="E73" s="12" t="s">
        <v>22</v>
      </c>
      <c r="F73" s="16"/>
      <c r="G73" s="16">
        <v>1500.0</v>
      </c>
      <c r="H73" s="15">
        <f t="shared" si="2"/>
        <v>1500</v>
      </c>
      <c r="I73" s="16">
        <f t="shared" si="3"/>
        <v>39602.08</v>
      </c>
    </row>
    <row r="74" ht="22.5" customHeight="1">
      <c r="A74" s="8">
        <v>46005.0</v>
      </c>
      <c r="B74" s="9" t="str">
        <f t="shared" si="1"/>
        <v>Dec-2025</v>
      </c>
      <c r="C74" s="10" t="s">
        <v>64</v>
      </c>
      <c r="D74" s="11" t="s">
        <v>15</v>
      </c>
      <c r="E74" s="12" t="s">
        <v>11</v>
      </c>
      <c r="F74" s="14"/>
      <c r="G74" s="13">
        <v>2.0</v>
      </c>
      <c r="H74" s="15">
        <f t="shared" si="2"/>
        <v>2</v>
      </c>
      <c r="I74" s="16">
        <f t="shared" si="3"/>
        <v>39604.08</v>
      </c>
    </row>
    <row r="75" ht="22.5" customHeight="1">
      <c r="A75" s="8">
        <v>46005.0</v>
      </c>
      <c r="B75" s="9" t="str">
        <f t="shared" si="1"/>
        <v>Dec-2025</v>
      </c>
      <c r="C75" s="10" t="s">
        <v>65</v>
      </c>
      <c r="D75" s="11" t="s">
        <v>15</v>
      </c>
      <c r="E75" s="12" t="s">
        <v>11</v>
      </c>
      <c r="F75" s="13">
        <v>200.0</v>
      </c>
      <c r="G75" s="14"/>
      <c r="H75" s="15">
        <f t="shared" si="2"/>
        <v>-200</v>
      </c>
      <c r="I75" s="16">
        <f t="shared" si="3"/>
        <v>39404.08</v>
      </c>
    </row>
    <row r="76" ht="22.5" customHeight="1">
      <c r="A76" s="8">
        <v>46005.0</v>
      </c>
      <c r="B76" s="9" t="str">
        <f t="shared" si="1"/>
        <v>Dec-2025</v>
      </c>
      <c r="C76" s="10" t="s">
        <v>37</v>
      </c>
      <c r="D76" s="11" t="s">
        <v>15</v>
      </c>
      <c r="E76" s="12" t="s">
        <v>19</v>
      </c>
      <c r="F76" s="13">
        <v>2082.6</v>
      </c>
      <c r="G76" s="14"/>
      <c r="H76" s="15">
        <f t="shared" si="2"/>
        <v>-2082.6</v>
      </c>
      <c r="I76" s="16">
        <f t="shared" si="3"/>
        <v>37321.48</v>
      </c>
    </row>
    <row r="77" ht="22.5" customHeight="1">
      <c r="A77" s="8">
        <v>46005.0</v>
      </c>
      <c r="B77" s="9" t="str">
        <f t="shared" si="1"/>
        <v>Dec-2025</v>
      </c>
      <c r="C77" s="10" t="s">
        <v>37</v>
      </c>
      <c r="D77" s="11" t="s">
        <v>15</v>
      </c>
      <c r="E77" s="12" t="s">
        <v>19</v>
      </c>
      <c r="F77" s="13">
        <v>520.65</v>
      </c>
      <c r="G77" s="14"/>
      <c r="H77" s="15">
        <f t="shared" si="2"/>
        <v>-520.65</v>
      </c>
      <c r="I77" s="16">
        <f t="shared" si="3"/>
        <v>36800.83</v>
      </c>
    </row>
    <row r="78" ht="22.5" customHeight="1">
      <c r="A78" s="8">
        <v>46005.0</v>
      </c>
      <c r="B78" s="9" t="str">
        <f t="shared" si="1"/>
        <v>Dec-2025</v>
      </c>
      <c r="C78" s="18" t="s">
        <v>49</v>
      </c>
      <c r="D78" s="11" t="s">
        <v>15</v>
      </c>
      <c r="E78" s="12" t="s">
        <v>22</v>
      </c>
      <c r="F78" s="16">
        <v>723.0</v>
      </c>
      <c r="G78" s="13"/>
      <c r="H78" s="15">
        <f t="shared" si="2"/>
        <v>-723</v>
      </c>
      <c r="I78" s="16">
        <f t="shared" si="3"/>
        <v>36077.83</v>
      </c>
    </row>
    <row r="79" ht="22.5" customHeight="1">
      <c r="A79" s="8">
        <v>46006.0</v>
      </c>
      <c r="B79" s="9" t="str">
        <f t="shared" si="1"/>
        <v>Dec-2025</v>
      </c>
      <c r="C79" s="10" t="s">
        <v>9</v>
      </c>
      <c r="D79" s="11" t="s">
        <v>10</v>
      </c>
      <c r="E79" s="12" t="s">
        <v>11</v>
      </c>
      <c r="F79" s="13">
        <v>4597.79</v>
      </c>
      <c r="G79" s="14"/>
      <c r="H79" s="15">
        <f t="shared" si="2"/>
        <v>-4597.79</v>
      </c>
      <c r="I79" s="16">
        <f t="shared" si="3"/>
        <v>31480.04</v>
      </c>
    </row>
    <row r="80" ht="22.5" customHeight="1">
      <c r="A80" s="8">
        <v>46006.0</v>
      </c>
      <c r="B80" s="9" t="str">
        <f t="shared" si="1"/>
        <v>Dec-2025</v>
      </c>
      <c r="C80" s="10" t="s">
        <v>9</v>
      </c>
      <c r="D80" s="11" t="s">
        <v>10</v>
      </c>
      <c r="E80" s="12" t="s">
        <v>11</v>
      </c>
      <c r="F80" s="13">
        <v>2223.0</v>
      </c>
      <c r="G80" s="14"/>
      <c r="H80" s="15">
        <f t="shared" si="2"/>
        <v>-2223</v>
      </c>
      <c r="I80" s="16">
        <f t="shared" si="3"/>
        <v>29257.04</v>
      </c>
    </row>
    <row r="81" ht="22.5" customHeight="1">
      <c r="A81" s="8">
        <v>46006.0</v>
      </c>
      <c r="B81" s="9" t="str">
        <f t="shared" si="1"/>
        <v>Dec-2025</v>
      </c>
      <c r="C81" s="10" t="s">
        <v>66</v>
      </c>
      <c r="D81" s="11" t="s">
        <v>13</v>
      </c>
      <c r="E81" s="12" t="s">
        <v>11</v>
      </c>
      <c r="F81" s="14"/>
      <c r="G81" s="13">
        <v>549.35</v>
      </c>
      <c r="H81" s="15">
        <f t="shared" si="2"/>
        <v>549.35</v>
      </c>
      <c r="I81" s="16">
        <f t="shared" si="3"/>
        <v>29806.39</v>
      </c>
    </row>
    <row r="82" ht="22.5" customHeight="1">
      <c r="A82" s="8">
        <v>46006.0</v>
      </c>
      <c r="B82" s="9" t="str">
        <f t="shared" si="1"/>
        <v>Dec-2025</v>
      </c>
      <c r="C82" s="18" t="s">
        <v>67</v>
      </c>
      <c r="D82" s="11" t="s">
        <v>10</v>
      </c>
      <c r="E82" s="12" t="s">
        <v>19</v>
      </c>
      <c r="F82" s="13"/>
      <c r="G82" s="13">
        <v>4597.79</v>
      </c>
      <c r="H82" s="15">
        <f t="shared" si="2"/>
        <v>4597.79</v>
      </c>
      <c r="I82" s="16">
        <f t="shared" si="3"/>
        <v>34404.18</v>
      </c>
    </row>
    <row r="83" ht="22.5" customHeight="1">
      <c r="A83" s="8">
        <v>46006.0</v>
      </c>
      <c r="B83" s="9" t="str">
        <f t="shared" si="1"/>
        <v>Dec-2025</v>
      </c>
      <c r="C83" s="10" t="s">
        <v>37</v>
      </c>
      <c r="D83" s="11" t="s">
        <v>15</v>
      </c>
      <c r="E83" s="12" t="s">
        <v>19</v>
      </c>
      <c r="F83" s="13">
        <v>1561.95</v>
      </c>
      <c r="G83" s="13"/>
      <c r="H83" s="15">
        <f t="shared" si="2"/>
        <v>-1561.95</v>
      </c>
      <c r="I83" s="16">
        <f t="shared" si="3"/>
        <v>32842.23</v>
      </c>
    </row>
    <row r="84" ht="22.5" customHeight="1">
      <c r="A84" s="8">
        <v>46006.0</v>
      </c>
      <c r="B84" s="9" t="str">
        <f t="shared" si="1"/>
        <v>Dec-2025</v>
      </c>
      <c r="C84" s="10" t="s">
        <v>45</v>
      </c>
      <c r="D84" s="11" t="s">
        <v>15</v>
      </c>
      <c r="E84" s="12" t="s">
        <v>19</v>
      </c>
      <c r="F84" s="13"/>
      <c r="G84" s="13">
        <v>13.02</v>
      </c>
      <c r="H84" s="15">
        <f t="shared" si="2"/>
        <v>13.02</v>
      </c>
      <c r="I84" s="16">
        <f t="shared" si="3"/>
        <v>32855.25</v>
      </c>
    </row>
    <row r="85" ht="22.5" customHeight="1">
      <c r="A85" s="8">
        <v>46006.0</v>
      </c>
      <c r="B85" s="9" t="str">
        <f t="shared" si="1"/>
        <v>Dec-2025</v>
      </c>
      <c r="C85" s="10" t="s">
        <v>45</v>
      </c>
      <c r="D85" s="11" t="s">
        <v>15</v>
      </c>
      <c r="E85" s="12" t="s">
        <v>19</v>
      </c>
      <c r="F85" s="13"/>
      <c r="G85" s="13">
        <v>13.02</v>
      </c>
      <c r="H85" s="15">
        <f t="shared" si="2"/>
        <v>13.02</v>
      </c>
      <c r="I85" s="16">
        <f t="shared" si="3"/>
        <v>32868.27</v>
      </c>
    </row>
    <row r="86" ht="22.5" customHeight="1">
      <c r="A86" s="8">
        <v>46006.0</v>
      </c>
      <c r="B86" s="9" t="str">
        <f t="shared" si="1"/>
        <v>Dec-2025</v>
      </c>
      <c r="C86" s="10" t="s">
        <v>45</v>
      </c>
      <c r="D86" s="11" t="s">
        <v>15</v>
      </c>
      <c r="E86" s="12" t="s">
        <v>19</v>
      </c>
      <c r="F86" s="13"/>
      <c r="G86" s="13">
        <v>52.47</v>
      </c>
      <c r="H86" s="15">
        <f t="shared" si="2"/>
        <v>52.47</v>
      </c>
      <c r="I86" s="16">
        <f t="shared" si="3"/>
        <v>32920.74</v>
      </c>
    </row>
    <row r="87" ht="22.5" customHeight="1">
      <c r="A87" s="8">
        <v>46006.0</v>
      </c>
      <c r="B87" s="9" t="str">
        <f t="shared" si="1"/>
        <v>Dec-2025</v>
      </c>
      <c r="C87" s="10" t="s">
        <v>68</v>
      </c>
      <c r="D87" s="11" t="s">
        <v>10</v>
      </c>
      <c r="E87" s="12" t="s">
        <v>22</v>
      </c>
      <c r="F87" s="13"/>
      <c r="G87" s="13">
        <v>2223.0</v>
      </c>
      <c r="H87" s="15">
        <f t="shared" si="2"/>
        <v>2223</v>
      </c>
      <c r="I87" s="16">
        <f t="shared" si="3"/>
        <v>35143.74</v>
      </c>
    </row>
    <row r="88" ht="22.5" customHeight="1">
      <c r="A88" s="8">
        <v>46006.0</v>
      </c>
      <c r="B88" s="9" t="str">
        <f t="shared" si="1"/>
        <v>Dec-2025</v>
      </c>
      <c r="C88" s="10" t="s">
        <v>69</v>
      </c>
      <c r="D88" s="11" t="s">
        <v>15</v>
      </c>
      <c r="E88" s="12" t="s">
        <v>22</v>
      </c>
      <c r="F88" s="13">
        <v>651.0</v>
      </c>
      <c r="G88" s="13"/>
      <c r="H88" s="15">
        <f t="shared" si="2"/>
        <v>-651</v>
      </c>
      <c r="I88" s="16">
        <f t="shared" si="3"/>
        <v>34492.74</v>
      </c>
    </row>
    <row r="89" ht="22.5" customHeight="1">
      <c r="A89" s="8">
        <v>46006.0</v>
      </c>
      <c r="B89" s="9" t="str">
        <f t="shared" si="1"/>
        <v>Dec-2025</v>
      </c>
      <c r="C89" s="10" t="s">
        <v>70</v>
      </c>
      <c r="D89" s="11" t="s">
        <v>15</v>
      </c>
      <c r="E89" s="12" t="s">
        <v>22</v>
      </c>
      <c r="F89" s="13"/>
      <c r="G89" s="13"/>
      <c r="H89" s="15">
        <f t="shared" si="2"/>
        <v>0</v>
      </c>
      <c r="I89" s="16">
        <f t="shared" si="3"/>
        <v>34492.74</v>
      </c>
    </row>
    <row r="90" ht="22.5" customHeight="1">
      <c r="A90" s="8">
        <v>46007.0</v>
      </c>
      <c r="B90" s="9" t="str">
        <f t="shared" si="1"/>
        <v>Dec-2025</v>
      </c>
      <c r="C90" s="10" t="s">
        <v>30</v>
      </c>
      <c r="D90" s="11" t="s">
        <v>13</v>
      </c>
      <c r="E90" s="12" t="s">
        <v>11</v>
      </c>
      <c r="F90" s="13">
        <v>476.61</v>
      </c>
      <c r="G90" s="14"/>
      <c r="H90" s="15">
        <f t="shared" si="2"/>
        <v>-476.61</v>
      </c>
      <c r="I90" s="16">
        <f t="shared" si="3"/>
        <v>34016.13</v>
      </c>
    </row>
    <row r="91" ht="22.5" customHeight="1">
      <c r="A91" s="8">
        <v>46007.0</v>
      </c>
      <c r="B91" s="9" t="str">
        <f t="shared" si="1"/>
        <v>Dec-2025</v>
      </c>
      <c r="C91" s="10" t="s">
        <v>71</v>
      </c>
      <c r="D91" s="11" t="s">
        <v>15</v>
      </c>
      <c r="E91" s="12" t="s">
        <v>11</v>
      </c>
      <c r="F91" s="13">
        <v>36.0</v>
      </c>
      <c r="G91" s="14"/>
      <c r="H91" s="15">
        <f t="shared" si="2"/>
        <v>-36</v>
      </c>
      <c r="I91" s="16">
        <f t="shared" si="3"/>
        <v>33980.13</v>
      </c>
    </row>
    <row r="92" ht="22.5" customHeight="1">
      <c r="A92" s="8">
        <v>46007.0</v>
      </c>
      <c r="B92" s="9" t="str">
        <f t="shared" si="1"/>
        <v>Dec-2025</v>
      </c>
      <c r="C92" s="20" t="s">
        <v>72</v>
      </c>
      <c r="D92" s="11" t="s">
        <v>15</v>
      </c>
      <c r="E92" s="12" t="s">
        <v>19</v>
      </c>
      <c r="F92" s="13">
        <v>92.25</v>
      </c>
      <c r="G92" s="13"/>
      <c r="H92" s="15">
        <f t="shared" si="2"/>
        <v>-92.25</v>
      </c>
      <c r="I92" s="16">
        <f t="shared" si="3"/>
        <v>33887.88</v>
      </c>
    </row>
    <row r="93" ht="22.5" customHeight="1">
      <c r="A93" s="8">
        <v>46007.0</v>
      </c>
      <c r="B93" s="9" t="str">
        <f t="shared" si="1"/>
        <v>Dec-2025</v>
      </c>
      <c r="C93" s="20" t="s">
        <v>73</v>
      </c>
      <c r="D93" s="11" t="s">
        <v>15</v>
      </c>
      <c r="E93" s="12" t="s">
        <v>19</v>
      </c>
      <c r="F93" s="13">
        <v>32.15</v>
      </c>
      <c r="G93" s="13"/>
      <c r="H93" s="15">
        <f t="shared" si="2"/>
        <v>-32.15</v>
      </c>
      <c r="I93" s="16">
        <f t="shared" si="3"/>
        <v>33855.73</v>
      </c>
    </row>
    <row r="94" ht="22.5" customHeight="1">
      <c r="A94" s="8">
        <v>46007.0</v>
      </c>
      <c r="B94" s="9" t="str">
        <f t="shared" si="1"/>
        <v>Dec-2025</v>
      </c>
      <c r="C94" s="10" t="s">
        <v>37</v>
      </c>
      <c r="D94" s="11" t="s">
        <v>15</v>
      </c>
      <c r="E94" s="12" t="s">
        <v>19</v>
      </c>
      <c r="F94" s="13">
        <v>2603.25</v>
      </c>
      <c r="G94" s="13"/>
      <c r="H94" s="15">
        <f t="shared" si="2"/>
        <v>-2603.25</v>
      </c>
      <c r="I94" s="16">
        <f t="shared" si="3"/>
        <v>31252.48</v>
      </c>
    </row>
    <row r="95" ht="22.5" customHeight="1">
      <c r="A95" s="8">
        <v>46007.0</v>
      </c>
      <c r="B95" s="9" t="str">
        <f t="shared" si="1"/>
        <v>Dec-2025</v>
      </c>
      <c r="C95" s="10" t="s">
        <v>37</v>
      </c>
      <c r="D95" s="11" t="s">
        <v>15</v>
      </c>
      <c r="E95" s="12" t="s">
        <v>19</v>
      </c>
      <c r="F95" s="13">
        <v>1041.3</v>
      </c>
      <c r="G95" s="13"/>
      <c r="H95" s="15">
        <f t="shared" si="2"/>
        <v>-1041.3</v>
      </c>
      <c r="I95" s="16">
        <f t="shared" si="3"/>
        <v>30211.18</v>
      </c>
    </row>
    <row r="96" ht="22.5" customHeight="1">
      <c r="A96" s="8">
        <v>46007.0</v>
      </c>
      <c r="B96" s="9" t="str">
        <f t="shared" si="1"/>
        <v>Dec-2025</v>
      </c>
      <c r="C96" s="10" t="s">
        <v>37</v>
      </c>
      <c r="D96" s="11" t="s">
        <v>15</v>
      </c>
      <c r="E96" s="12" t="s">
        <v>19</v>
      </c>
      <c r="F96" s="13">
        <v>520.65</v>
      </c>
      <c r="G96" s="13"/>
      <c r="H96" s="15">
        <f t="shared" si="2"/>
        <v>-520.65</v>
      </c>
      <c r="I96" s="16">
        <f t="shared" si="3"/>
        <v>29690.53</v>
      </c>
    </row>
    <row r="97" ht="22.5" customHeight="1">
      <c r="A97" s="8">
        <v>46007.0</v>
      </c>
      <c r="B97" s="9" t="str">
        <f t="shared" si="1"/>
        <v>Dec-2025</v>
      </c>
      <c r="C97" s="10" t="s">
        <v>45</v>
      </c>
      <c r="D97" s="11" t="s">
        <v>15</v>
      </c>
      <c r="E97" s="12" t="s">
        <v>19</v>
      </c>
      <c r="F97" s="13"/>
      <c r="G97" s="13">
        <v>26.03</v>
      </c>
      <c r="H97" s="15">
        <f t="shared" si="2"/>
        <v>26.03</v>
      </c>
      <c r="I97" s="16">
        <f t="shared" si="3"/>
        <v>29716.56</v>
      </c>
    </row>
    <row r="98" ht="22.5" customHeight="1">
      <c r="A98" s="8">
        <v>46007.0</v>
      </c>
      <c r="B98" s="9" t="str">
        <f t="shared" si="1"/>
        <v>Dec-2025</v>
      </c>
      <c r="C98" s="10" t="s">
        <v>45</v>
      </c>
      <c r="D98" s="11" t="s">
        <v>15</v>
      </c>
      <c r="E98" s="12" t="s">
        <v>19</v>
      </c>
      <c r="F98" s="13"/>
      <c r="G98" s="13">
        <v>104.13</v>
      </c>
      <c r="H98" s="15">
        <f t="shared" si="2"/>
        <v>104.13</v>
      </c>
      <c r="I98" s="16">
        <f t="shared" si="3"/>
        <v>29820.69</v>
      </c>
    </row>
    <row r="99" ht="22.5" customHeight="1">
      <c r="A99" s="8">
        <v>46008.0</v>
      </c>
      <c r="B99" s="9" t="str">
        <f t="shared" si="1"/>
        <v>Dec-2025</v>
      </c>
      <c r="C99" s="10" t="s">
        <v>9</v>
      </c>
      <c r="D99" s="11" t="s">
        <v>10</v>
      </c>
      <c r="E99" s="12" t="s">
        <v>11</v>
      </c>
      <c r="F99" s="13">
        <v>1561.0</v>
      </c>
      <c r="G99" s="14"/>
      <c r="H99" s="15">
        <f t="shared" si="2"/>
        <v>-1561</v>
      </c>
      <c r="I99" s="16">
        <f t="shared" si="3"/>
        <v>28259.69</v>
      </c>
    </row>
    <row r="100" ht="22.5" customHeight="1">
      <c r="A100" s="8">
        <v>46008.0</v>
      </c>
      <c r="B100" s="9" t="str">
        <f t="shared" si="1"/>
        <v>Dec-2025</v>
      </c>
      <c r="C100" s="10" t="s">
        <v>74</v>
      </c>
      <c r="D100" s="11" t="s">
        <v>15</v>
      </c>
      <c r="E100" s="12" t="s">
        <v>11</v>
      </c>
      <c r="F100" s="14"/>
      <c r="G100" s="13">
        <v>6000.0</v>
      </c>
      <c r="H100" s="15">
        <f t="shared" si="2"/>
        <v>6000</v>
      </c>
      <c r="I100" s="16">
        <f t="shared" si="3"/>
        <v>34259.69</v>
      </c>
    </row>
    <row r="101" ht="22.5" customHeight="1">
      <c r="A101" s="8">
        <v>46008.0</v>
      </c>
      <c r="B101" s="9" t="str">
        <f t="shared" si="1"/>
        <v>Dec-2025</v>
      </c>
      <c r="C101" s="10" t="s">
        <v>75</v>
      </c>
      <c r="D101" s="11" t="s">
        <v>15</v>
      </c>
      <c r="E101" s="12" t="s">
        <v>11</v>
      </c>
      <c r="F101" s="13">
        <v>6000.0</v>
      </c>
      <c r="G101" s="14"/>
      <c r="H101" s="15">
        <f t="shared" si="2"/>
        <v>-6000</v>
      </c>
      <c r="I101" s="16">
        <f t="shared" si="3"/>
        <v>28259.69</v>
      </c>
    </row>
    <row r="102" ht="22.5" customHeight="1">
      <c r="A102" s="8">
        <v>46008.0</v>
      </c>
      <c r="B102" s="9" t="str">
        <f t="shared" si="1"/>
        <v>Dec-2025</v>
      </c>
      <c r="C102" s="10" t="s">
        <v>76</v>
      </c>
      <c r="D102" s="11" t="s">
        <v>10</v>
      </c>
      <c r="E102" s="12" t="s">
        <v>19</v>
      </c>
      <c r="F102" s="13"/>
      <c r="G102" s="13">
        <v>1561.0</v>
      </c>
      <c r="H102" s="15">
        <f t="shared" si="2"/>
        <v>1561</v>
      </c>
      <c r="I102" s="16">
        <f t="shared" si="3"/>
        <v>29820.69</v>
      </c>
    </row>
    <row r="103" ht="22.5" customHeight="1">
      <c r="A103" s="8">
        <v>46008.0</v>
      </c>
      <c r="B103" s="9" t="str">
        <f t="shared" si="1"/>
        <v>Dec-2025</v>
      </c>
      <c r="C103" s="10" t="s">
        <v>45</v>
      </c>
      <c r="D103" s="11" t="s">
        <v>15</v>
      </c>
      <c r="E103" s="12" t="s">
        <v>19</v>
      </c>
      <c r="F103" s="13"/>
      <c r="G103" s="13">
        <v>78.1</v>
      </c>
      <c r="H103" s="15">
        <f t="shared" si="2"/>
        <v>78.1</v>
      </c>
      <c r="I103" s="16">
        <f t="shared" si="3"/>
        <v>29898.79</v>
      </c>
    </row>
    <row r="104" ht="22.5" customHeight="1">
      <c r="A104" s="8">
        <v>46008.0</v>
      </c>
      <c r="B104" s="9" t="str">
        <f t="shared" si="1"/>
        <v>Dec-2025</v>
      </c>
      <c r="C104" s="10" t="s">
        <v>77</v>
      </c>
      <c r="D104" s="11" t="s">
        <v>15</v>
      </c>
      <c r="E104" s="12" t="s">
        <v>22</v>
      </c>
      <c r="F104" s="13">
        <v>640.0</v>
      </c>
      <c r="G104" s="13"/>
      <c r="H104" s="15">
        <f t="shared" si="2"/>
        <v>-640</v>
      </c>
      <c r="I104" s="16">
        <f t="shared" si="3"/>
        <v>29258.79</v>
      </c>
    </row>
    <row r="105" ht="22.5" customHeight="1">
      <c r="A105" s="8">
        <v>46009.0</v>
      </c>
      <c r="B105" s="9" t="str">
        <f t="shared" si="1"/>
        <v>Dec-2025</v>
      </c>
      <c r="C105" s="10" t="s">
        <v>30</v>
      </c>
      <c r="D105" s="11" t="s">
        <v>13</v>
      </c>
      <c r="E105" s="12" t="s">
        <v>11</v>
      </c>
      <c r="F105" s="13">
        <v>477.7</v>
      </c>
      <c r="G105" s="14"/>
      <c r="H105" s="15">
        <f t="shared" si="2"/>
        <v>-477.7</v>
      </c>
      <c r="I105" s="16">
        <f t="shared" si="3"/>
        <v>28781.09</v>
      </c>
    </row>
    <row r="106" ht="22.5" customHeight="1">
      <c r="A106" s="8">
        <v>46009.0</v>
      </c>
      <c r="B106" s="9" t="str">
        <f t="shared" si="1"/>
        <v>Dec-2025</v>
      </c>
      <c r="C106" s="10" t="s">
        <v>45</v>
      </c>
      <c r="D106" s="11" t="s">
        <v>15</v>
      </c>
      <c r="E106" s="12" t="s">
        <v>19</v>
      </c>
      <c r="F106" s="13"/>
      <c r="G106" s="13">
        <v>26.03</v>
      </c>
      <c r="H106" s="15">
        <f t="shared" si="2"/>
        <v>26.03</v>
      </c>
      <c r="I106" s="16">
        <f t="shared" si="3"/>
        <v>28807.12</v>
      </c>
    </row>
    <row r="107" ht="22.5" customHeight="1">
      <c r="A107" s="8">
        <v>46009.0</v>
      </c>
      <c r="B107" s="9" t="str">
        <f t="shared" si="1"/>
        <v>Dec-2025</v>
      </c>
      <c r="C107" s="10" t="s">
        <v>45</v>
      </c>
      <c r="D107" s="11" t="s">
        <v>15</v>
      </c>
      <c r="E107" s="12" t="s">
        <v>19</v>
      </c>
      <c r="F107" s="13"/>
      <c r="G107" s="13">
        <v>130.16</v>
      </c>
      <c r="H107" s="15">
        <f t="shared" si="2"/>
        <v>130.16</v>
      </c>
      <c r="I107" s="16">
        <f t="shared" si="3"/>
        <v>28937.28</v>
      </c>
    </row>
    <row r="108" ht="22.5" customHeight="1">
      <c r="A108" s="8">
        <v>46009.0</v>
      </c>
      <c r="B108" s="9" t="str">
        <f t="shared" si="1"/>
        <v>Dec-2025</v>
      </c>
      <c r="C108" s="10" t="s">
        <v>45</v>
      </c>
      <c r="D108" s="11" t="s">
        <v>15</v>
      </c>
      <c r="E108" s="12" t="s">
        <v>19</v>
      </c>
      <c r="F108" s="13"/>
      <c r="G108" s="13">
        <v>52.07</v>
      </c>
      <c r="H108" s="15">
        <f t="shared" si="2"/>
        <v>52.07</v>
      </c>
      <c r="I108" s="16">
        <f t="shared" si="3"/>
        <v>28989.35</v>
      </c>
    </row>
    <row r="109" ht="22.5" customHeight="1">
      <c r="A109" s="8">
        <v>46009.0</v>
      </c>
      <c r="B109" s="9" t="str">
        <f t="shared" si="1"/>
        <v>Dec-2025</v>
      </c>
      <c r="C109" s="10" t="s">
        <v>49</v>
      </c>
      <c r="D109" s="11" t="s">
        <v>15</v>
      </c>
      <c r="E109" s="12" t="s">
        <v>22</v>
      </c>
      <c r="F109" s="13">
        <v>655.0</v>
      </c>
      <c r="G109" s="13"/>
      <c r="H109" s="15">
        <f t="shared" si="2"/>
        <v>-655</v>
      </c>
      <c r="I109" s="16">
        <f t="shared" si="3"/>
        <v>28334.35</v>
      </c>
    </row>
    <row r="110" ht="22.5" customHeight="1">
      <c r="A110" s="8">
        <v>46010.0</v>
      </c>
      <c r="B110" s="9" t="str">
        <f t="shared" si="1"/>
        <v>Dec-2025</v>
      </c>
      <c r="C110" s="10" t="s">
        <v>78</v>
      </c>
      <c r="D110" s="11" t="s">
        <v>15</v>
      </c>
      <c r="E110" s="12" t="s">
        <v>22</v>
      </c>
      <c r="F110" s="13">
        <v>525.55</v>
      </c>
      <c r="G110" s="13"/>
      <c r="H110" s="15">
        <f t="shared" si="2"/>
        <v>-525.55</v>
      </c>
      <c r="I110" s="16">
        <f t="shared" si="3"/>
        <v>27808.8</v>
      </c>
    </row>
    <row r="111" ht="22.5" customHeight="1">
      <c r="A111" s="8">
        <v>46012.0</v>
      </c>
      <c r="B111" s="9" t="str">
        <f t="shared" si="1"/>
        <v>Dec-2025</v>
      </c>
      <c r="C111" s="10" t="s">
        <v>37</v>
      </c>
      <c r="D111" s="11" t="s">
        <v>15</v>
      </c>
      <c r="E111" s="12" t="s">
        <v>19</v>
      </c>
      <c r="F111" s="13">
        <v>520.65</v>
      </c>
      <c r="G111" s="13"/>
      <c r="H111" s="15">
        <f t="shared" si="2"/>
        <v>-520.65</v>
      </c>
      <c r="I111" s="16">
        <f t="shared" si="3"/>
        <v>27288.15</v>
      </c>
    </row>
    <row r="112" ht="22.5" customHeight="1">
      <c r="A112" s="8">
        <v>46013.0</v>
      </c>
      <c r="B112" s="9" t="str">
        <f t="shared" si="1"/>
        <v>Dec-2025</v>
      </c>
      <c r="C112" s="10" t="s">
        <v>9</v>
      </c>
      <c r="D112" s="11" t="s">
        <v>10</v>
      </c>
      <c r="E112" s="12" t="s">
        <v>11</v>
      </c>
      <c r="F112" s="13">
        <v>1200.0</v>
      </c>
      <c r="G112" s="14"/>
      <c r="H112" s="15">
        <f t="shared" si="2"/>
        <v>-1200</v>
      </c>
      <c r="I112" s="16">
        <f t="shared" si="3"/>
        <v>26088.15</v>
      </c>
    </row>
    <row r="113" ht="22.5" customHeight="1">
      <c r="A113" s="8">
        <v>46013.0</v>
      </c>
      <c r="B113" s="9" t="str">
        <f t="shared" si="1"/>
        <v>Dec-2025</v>
      </c>
      <c r="C113" s="10" t="s">
        <v>79</v>
      </c>
      <c r="D113" s="11" t="s">
        <v>15</v>
      </c>
      <c r="E113" s="12" t="s">
        <v>11</v>
      </c>
      <c r="F113" s="14"/>
      <c r="G113" s="13">
        <v>1200.0</v>
      </c>
      <c r="H113" s="15">
        <f t="shared" si="2"/>
        <v>1200</v>
      </c>
      <c r="I113" s="16">
        <f t="shared" si="3"/>
        <v>27288.15</v>
      </c>
    </row>
    <row r="114" ht="22.5" customHeight="1">
      <c r="A114" s="8">
        <v>46013.0</v>
      </c>
      <c r="B114" s="9" t="str">
        <f t="shared" si="1"/>
        <v>Dec-2025</v>
      </c>
      <c r="C114" s="10" t="s">
        <v>80</v>
      </c>
      <c r="D114" s="11" t="s">
        <v>15</v>
      </c>
      <c r="E114" s="12" t="s">
        <v>19</v>
      </c>
      <c r="F114" s="13">
        <v>2167.0</v>
      </c>
      <c r="G114" s="13"/>
      <c r="H114" s="15">
        <f t="shared" si="2"/>
        <v>-2167</v>
      </c>
      <c r="I114" s="16">
        <f t="shared" si="3"/>
        <v>25121.15</v>
      </c>
    </row>
    <row r="115" ht="22.5" customHeight="1">
      <c r="A115" s="8">
        <v>46013.0</v>
      </c>
      <c r="B115" s="9" t="str">
        <f t="shared" si="1"/>
        <v>Dec-2025</v>
      </c>
      <c r="C115" s="10" t="s">
        <v>81</v>
      </c>
      <c r="D115" s="11" t="s">
        <v>15</v>
      </c>
      <c r="E115" s="12" t="s">
        <v>22</v>
      </c>
      <c r="F115" s="13"/>
      <c r="G115" s="13">
        <v>1200.0</v>
      </c>
      <c r="H115" s="15">
        <f t="shared" si="2"/>
        <v>1200</v>
      </c>
      <c r="I115" s="16">
        <f t="shared" si="3"/>
        <v>26321.15</v>
      </c>
    </row>
    <row r="116" ht="22.5" customHeight="1">
      <c r="A116" s="8">
        <v>46013.0</v>
      </c>
      <c r="B116" s="9" t="str">
        <f t="shared" si="1"/>
        <v>Dec-2025</v>
      </c>
      <c r="C116" s="10" t="s">
        <v>82</v>
      </c>
      <c r="D116" s="11" t="s">
        <v>15</v>
      </c>
      <c r="E116" s="12" t="s">
        <v>22</v>
      </c>
      <c r="F116" s="13">
        <v>592.0</v>
      </c>
      <c r="G116" s="13"/>
      <c r="H116" s="15">
        <f t="shared" si="2"/>
        <v>-592</v>
      </c>
      <c r="I116" s="16">
        <f t="shared" si="3"/>
        <v>25729.15</v>
      </c>
    </row>
    <row r="117" ht="22.5" customHeight="1">
      <c r="A117" s="8">
        <v>46014.0</v>
      </c>
      <c r="B117" s="9" t="str">
        <f t="shared" si="1"/>
        <v>Dec-2025</v>
      </c>
      <c r="C117" s="20" t="s">
        <v>83</v>
      </c>
      <c r="D117" s="11" t="s">
        <v>15</v>
      </c>
      <c r="E117" s="12" t="s">
        <v>19</v>
      </c>
      <c r="F117" s="13">
        <v>247.12</v>
      </c>
      <c r="G117" s="13"/>
      <c r="H117" s="15">
        <f t="shared" si="2"/>
        <v>-247.12</v>
      </c>
      <c r="I117" s="16">
        <f t="shared" si="3"/>
        <v>25482.03</v>
      </c>
    </row>
    <row r="118" ht="22.5" customHeight="1">
      <c r="A118" s="8">
        <v>46014.0</v>
      </c>
      <c r="B118" s="9" t="str">
        <f t="shared" si="1"/>
        <v>Dec-2025</v>
      </c>
      <c r="C118" s="10" t="s">
        <v>45</v>
      </c>
      <c r="D118" s="11" t="s">
        <v>15</v>
      </c>
      <c r="E118" s="12" t="s">
        <v>19</v>
      </c>
      <c r="F118" s="13"/>
      <c r="G118" s="13">
        <v>26.03</v>
      </c>
      <c r="H118" s="15">
        <f t="shared" si="2"/>
        <v>26.03</v>
      </c>
      <c r="I118" s="16">
        <f t="shared" si="3"/>
        <v>25508.06</v>
      </c>
    </row>
    <row r="119" ht="22.5" customHeight="1">
      <c r="A119" s="8">
        <v>46015.0</v>
      </c>
      <c r="B119" s="9" t="str">
        <f t="shared" si="1"/>
        <v>Dec-2025</v>
      </c>
      <c r="C119" s="10" t="s">
        <v>84</v>
      </c>
      <c r="D119" s="11" t="s">
        <v>10</v>
      </c>
      <c r="E119" s="12" t="s">
        <v>11</v>
      </c>
      <c r="F119" s="13">
        <v>5000.0</v>
      </c>
      <c r="G119" s="14"/>
      <c r="H119" s="15">
        <f t="shared" si="2"/>
        <v>-5000</v>
      </c>
      <c r="I119" s="16">
        <f t="shared" si="3"/>
        <v>20508.06</v>
      </c>
    </row>
    <row r="120" ht="22.5" customHeight="1">
      <c r="A120" s="8">
        <v>46015.0</v>
      </c>
      <c r="B120" s="9" t="str">
        <f t="shared" si="1"/>
        <v>Dec-2025</v>
      </c>
      <c r="C120" s="10" t="s">
        <v>85</v>
      </c>
      <c r="D120" s="11" t="s">
        <v>10</v>
      </c>
      <c r="E120" s="12" t="s">
        <v>11</v>
      </c>
      <c r="F120" s="13">
        <v>113.55</v>
      </c>
      <c r="G120" s="14"/>
      <c r="H120" s="15">
        <f t="shared" si="2"/>
        <v>-113.55</v>
      </c>
      <c r="I120" s="16">
        <f t="shared" si="3"/>
        <v>20394.51</v>
      </c>
    </row>
    <row r="121" ht="22.5" customHeight="1">
      <c r="A121" s="8">
        <v>46015.0</v>
      </c>
      <c r="B121" s="9" t="str">
        <f t="shared" si="1"/>
        <v>Dec-2025</v>
      </c>
      <c r="C121" s="10" t="s">
        <v>86</v>
      </c>
      <c r="D121" s="11" t="s">
        <v>13</v>
      </c>
      <c r="E121" s="12" t="s">
        <v>11</v>
      </c>
      <c r="F121" s="13">
        <v>500.0</v>
      </c>
      <c r="G121" s="14"/>
      <c r="H121" s="15">
        <f t="shared" si="2"/>
        <v>-500</v>
      </c>
      <c r="I121" s="16">
        <f t="shared" si="3"/>
        <v>19894.51</v>
      </c>
    </row>
    <row r="122" ht="22.5" customHeight="1">
      <c r="A122" s="8">
        <v>46015.0</v>
      </c>
      <c r="B122" s="9" t="str">
        <f t="shared" si="1"/>
        <v>Dec-2025</v>
      </c>
      <c r="C122" s="10" t="s">
        <v>30</v>
      </c>
      <c r="D122" s="11" t="s">
        <v>13</v>
      </c>
      <c r="E122" s="12" t="s">
        <v>11</v>
      </c>
      <c r="F122" s="13">
        <v>1054.54</v>
      </c>
      <c r="G122" s="14"/>
      <c r="H122" s="15">
        <f t="shared" si="2"/>
        <v>-1054.54</v>
      </c>
      <c r="I122" s="16">
        <f t="shared" si="3"/>
        <v>18839.97</v>
      </c>
    </row>
    <row r="123" ht="22.5" customHeight="1">
      <c r="A123" s="8">
        <v>46015.0</v>
      </c>
      <c r="B123" s="9" t="str">
        <f t="shared" si="1"/>
        <v>Dec-2025</v>
      </c>
      <c r="C123" s="10" t="s">
        <v>87</v>
      </c>
      <c r="D123" s="11" t="s">
        <v>10</v>
      </c>
      <c r="E123" s="12" t="s">
        <v>19</v>
      </c>
      <c r="F123" s="13"/>
      <c r="G123" s="13">
        <v>5000.0</v>
      </c>
      <c r="H123" s="15">
        <f t="shared" si="2"/>
        <v>5000</v>
      </c>
      <c r="I123" s="16">
        <f t="shared" si="3"/>
        <v>23839.97</v>
      </c>
    </row>
    <row r="124" ht="22.5" customHeight="1">
      <c r="A124" s="8">
        <v>46015.0</v>
      </c>
      <c r="B124" s="9" t="str">
        <f t="shared" si="1"/>
        <v>Dec-2025</v>
      </c>
      <c r="C124" s="10" t="s">
        <v>88</v>
      </c>
      <c r="D124" s="11" t="s">
        <v>15</v>
      </c>
      <c r="E124" s="12" t="s">
        <v>22</v>
      </c>
      <c r="F124" s="13"/>
      <c r="G124" s="13">
        <v>113.55</v>
      </c>
      <c r="H124" s="15">
        <f t="shared" si="2"/>
        <v>113.55</v>
      </c>
      <c r="I124" s="16">
        <f t="shared" si="3"/>
        <v>23953.52</v>
      </c>
    </row>
    <row r="125" ht="22.5" customHeight="1">
      <c r="A125" s="8">
        <v>46016.0</v>
      </c>
      <c r="B125" s="9" t="str">
        <f t="shared" si="1"/>
        <v>Dec-2025</v>
      </c>
      <c r="C125" s="10" t="s">
        <v>9</v>
      </c>
      <c r="D125" s="11" t="s">
        <v>10</v>
      </c>
      <c r="E125" s="12" t="s">
        <v>11</v>
      </c>
      <c r="F125" s="13">
        <v>1111.26</v>
      </c>
      <c r="G125" s="14"/>
      <c r="H125" s="15">
        <f t="shared" si="2"/>
        <v>-1111.26</v>
      </c>
      <c r="I125" s="16">
        <f t="shared" si="3"/>
        <v>22842.26</v>
      </c>
    </row>
    <row r="126" ht="22.5" customHeight="1">
      <c r="A126" s="8">
        <v>46016.0</v>
      </c>
      <c r="B126" s="9" t="str">
        <f t="shared" si="1"/>
        <v>Dec-2025</v>
      </c>
      <c r="C126" s="10" t="s">
        <v>9</v>
      </c>
      <c r="D126" s="11" t="s">
        <v>10</v>
      </c>
      <c r="E126" s="12" t="s">
        <v>11</v>
      </c>
      <c r="F126" s="13">
        <v>1100.0</v>
      </c>
      <c r="G126" s="14"/>
      <c r="H126" s="15">
        <f t="shared" si="2"/>
        <v>-1100</v>
      </c>
      <c r="I126" s="16">
        <f t="shared" si="3"/>
        <v>21742.26</v>
      </c>
    </row>
    <row r="127" ht="22.5" customHeight="1">
      <c r="A127" s="8">
        <v>46016.0</v>
      </c>
      <c r="B127" s="9" t="str">
        <f t="shared" si="1"/>
        <v>Dec-2025</v>
      </c>
      <c r="C127" s="10" t="s">
        <v>28</v>
      </c>
      <c r="D127" s="11" t="s">
        <v>15</v>
      </c>
      <c r="E127" s="12" t="s">
        <v>11</v>
      </c>
      <c r="F127" s="14"/>
      <c r="G127" s="13">
        <v>4000.0</v>
      </c>
      <c r="H127" s="15">
        <f t="shared" si="2"/>
        <v>4000</v>
      </c>
      <c r="I127" s="16">
        <f t="shared" si="3"/>
        <v>25742.26</v>
      </c>
    </row>
    <row r="128" ht="22.5" customHeight="1">
      <c r="A128" s="8">
        <v>46016.0</v>
      </c>
      <c r="B128" s="9" t="str">
        <f t="shared" si="1"/>
        <v>Dec-2025</v>
      </c>
      <c r="C128" s="10" t="s">
        <v>89</v>
      </c>
      <c r="D128" s="11" t="s">
        <v>15</v>
      </c>
      <c r="E128" s="12" t="s">
        <v>11</v>
      </c>
      <c r="F128" s="14"/>
      <c r="G128" s="13">
        <v>10.0</v>
      </c>
      <c r="H128" s="15">
        <f t="shared" si="2"/>
        <v>10</v>
      </c>
      <c r="I128" s="16">
        <f t="shared" si="3"/>
        <v>25752.26</v>
      </c>
    </row>
    <row r="129" ht="22.5" customHeight="1">
      <c r="A129" s="8">
        <v>46016.0</v>
      </c>
      <c r="B129" s="9" t="str">
        <f t="shared" si="1"/>
        <v>Dec-2025</v>
      </c>
      <c r="C129" s="10" t="s">
        <v>90</v>
      </c>
      <c r="D129" s="11" t="s">
        <v>15</v>
      </c>
      <c r="E129" s="12" t="s">
        <v>11</v>
      </c>
      <c r="F129" s="14"/>
      <c r="G129" s="13">
        <v>2.0</v>
      </c>
      <c r="H129" s="15">
        <f t="shared" si="2"/>
        <v>2</v>
      </c>
      <c r="I129" s="16">
        <f t="shared" si="3"/>
        <v>25754.26</v>
      </c>
    </row>
    <row r="130" ht="22.5" customHeight="1">
      <c r="A130" s="8">
        <v>46016.0</v>
      </c>
      <c r="B130" s="9" t="str">
        <f t="shared" si="1"/>
        <v>Dec-2025</v>
      </c>
      <c r="C130" s="10" t="s">
        <v>91</v>
      </c>
      <c r="D130" s="11" t="s">
        <v>15</v>
      </c>
      <c r="E130" s="12" t="s">
        <v>11</v>
      </c>
      <c r="F130" s="13">
        <v>8.26</v>
      </c>
      <c r="G130" s="14"/>
      <c r="H130" s="15">
        <f t="shared" si="2"/>
        <v>-8.26</v>
      </c>
      <c r="I130" s="16">
        <f t="shared" si="3"/>
        <v>25746</v>
      </c>
    </row>
    <row r="131" ht="22.5" customHeight="1">
      <c r="A131" s="8">
        <v>46016.0</v>
      </c>
      <c r="B131" s="9" t="str">
        <f t="shared" si="1"/>
        <v>Dec-2025</v>
      </c>
      <c r="C131" s="10" t="s">
        <v>92</v>
      </c>
      <c r="D131" s="11" t="s">
        <v>15</v>
      </c>
      <c r="E131" s="12" t="s">
        <v>11</v>
      </c>
      <c r="F131" s="14"/>
      <c r="G131" s="13">
        <v>11.0</v>
      </c>
      <c r="H131" s="15">
        <f t="shared" si="2"/>
        <v>11</v>
      </c>
      <c r="I131" s="16">
        <f t="shared" si="3"/>
        <v>25757</v>
      </c>
    </row>
    <row r="132" ht="22.5" customHeight="1">
      <c r="A132" s="8">
        <v>46016.0</v>
      </c>
      <c r="B132" s="9" t="str">
        <f t="shared" si="1"/>
        <v>Dec-2025</v>
      </c>
      <c r="C132" s="10" t="s">
        <v>93</v>
      </c>
      <c r="D132" s="11" t="s">
        <v>10</v>
      </c>
      <c r="E132" s="12" t="s">
        <v>19</v>
      </c>
      <c r="F132" s="13"/>
      <c r="G132" s="13">
        <v>1111.26</v>
      </c>
      <c r="H132" s="15">
        <f t="shared" si="2"/>
        <v>1111.26</v>
      </c>
      <c r="I132" s="16">
        <f t="shared" si="3"/>
        <v>26868.26</v>
      </c>
    </row>
    <row r="133" ht="22.5" customHeight="1">
      <c r="A133" s="8">
        <v>46016.0</v>
      </c>
      <c r="B133" s="9" t="str">
        <f t="shared" si="1"/>
        <v>Dec-2025</v>
      </c>
      <c r="C133" s="10" t="s">
        <v>37</v>
      </c>
      <c r="D133" s="11" t="s">
        <v>15</v>
      </c>
      <c r="E133" s="12" t="s">
        <v>19</v>
      </c>
      <c r="F133" s="13">
        <v>1000.0</v>
      </c>
      <c r="G133" s="13"/>
      <c r="H133" s="15">
        <f t="shared" si="2"/>
        <v>-1000</v>
      </c>
      <c r="I133" s="16">
        <f t="shared" si="3"/>
        <v>25868.26</v>
      </c>
    </row>
    <row r="134" ht="22.5" customHeight="1">
      <c r="A134" s="8">
        <v>46016.0</v>
      </c>
      <c r="B134" s="9" t="str">
        <f t="shared" si="1"/>
        <v>Dec-2025</v>
      </c>
      <c r="C134" s="10" t="s">
        <v>94</v>
      </c>
      <c r="D134" s="11" t="s">
        <v>15</v>
      </c>
      <c r="E134" s="12" t="s">
        <v>19</v>
      </c>
      <c r="F134" s="13">
        <v>386.0</v>
      </c>
      <c r="G134" s="13"/>
      <c r="H134" s="15">
        <f t="shared" si="2"/>
        <v>-386</v>
      </c>
      <c r="I134" s="16">
        <f t="shared" si="3"/>
        <v>25482.26</v>
      </c>
    </row>
    <row r="135" ht="22.5" customHeight="1">
      <c r="A135" s="8">
        <v>46016.0</v>
      </c>
      <c r="B135" s="9" t="str">
        <f t="shared" si="1"/>
        <v>Dec-2025</v>
      </c>
      <c r="C135" s="10" t="s">
        <v>94</v>
      </c>
      <c r="D135" s="11" t="s">
        <v>15</v>
      </c>
      <c r="E135" s="12" t="s">
        <v>19</v>
      </c>
      <c r="F135" s="13"/>
      <c r="G135" s="13">
        <v>386.0</v>
      </c>
      <c r="H135" s="15">
        <f t="shared" si="2"/>
        <v>386</v>
      </c>
      <c r="I135" s="16">
        <f t="shared" si="3"/>
        <v>25868.26</v>
      </c>
    </row>
    <row r="136" ht="22.5" customHeight="1">
      <c r="A136" s="8">
        <v>46016.0</v>
      </c>
      <c r="B136" s="9" t="str">
        <f t="shared" si="1"/>
        <v>Dec-2025</v>
      </c>
      <c r="C136" s="10" t="s">
        <v>95</v>
      </c>
      <c r="D136" s="11" t="s">
        <v>15</v>
      </c>
      <c r="E136" s="12" t="s">
        <v>19</v>
      </c>
      <c r="F136" s="13">
        <v>407.0</v>
      </c>
      <c r="G136" s="13"/>
      <c r="H136" s="15">
        <f t="shared" si="2"/>
        <v>-407</v>
      </c>
      <c r="I136" s="16">
        <f t="shared" si="3"/>
        <v>25461.26</v>
      </c>
    </row>
    <row r="137" ht="22.5" customHeight="1">
      <c r="A137" s="8">
        <v>46016.0</v>
      </c>
      <c r="B137" s="9" t="str">
        <f t="shared" si="1"/>
        <v>Dec-2025</v>
      </c>
      <c r="C137" s="10" t="s">
        <v>96</v>
      </c>
      <c r="D137" s="11" t="s">
        <v>10</v>
      </c>
      <c r="E137" s="12" t="s">
        <v>22</v>
      </c>
      <c r="F137" s="13"/>
      <c r="G137" s="13">
        <v>1100.0</v>
      </c>
      <c r="H137" s="15">
        <f t="shared" si="2"/>
        <v>1100</v>
      </c>
      <c r="I137" s="16">
        <f t="shared" si="3"/>
        <v>26561.26</v>
      </c>
    </row>
    <row r="138" ht="22.5" customHeight="1">
      <c r="A138" s="8">
        <v>46016.0</v>
      </c>
      <c r="B138" s="9" t="str">
        <f t="shared" si="1"/>
        <v>Dec-2025</v>
      </c>
      <c r="C138" s="10" t="s">
        <v>97</v>
      </c>
      <c r="D138" s="11" t="s">
        <v>15</v>
      </c>
      <c r="E138" s="12" t="s">
        <v>22</v>
      </c>
      <c r="F138" s="13">
        <v>100.0</v>
      </c>
      <c r="G138" s="13"/>
      <c r="H138" s="15">
        <f t="shared" si="2"/>
        <v>-100</v>
      </c>
      <c r="I138" s="16">
        <f t="shared" si="3"/>
        <v>26461.26</v>
      </c>
    </row>
    <row r="139" ht="22.5" customHeight="1">
      <c r="A139" s="8">
        <v>46016.0</v>
      </c>
      <c r="B139" s="9" t="str">
        <f t="shared" si="1"/>
        <v>Dec-2025</v>
      </c>
      <c r="C139" s="10" t="s">
        <v>98</v>
      </c>
      <c r="D139" s="11" t="s">
        <v>15</v>
      </c>
      <c r="E139" s="12" t="s">
        <v>22</v>
      </c>
      <c r="F139" s="13">
        <v>240.0</v>
      </c>
      <c r="G139" s="13"/>
      <c r="H139" s="15">
        <f t="shared" si="2"/>
        <v>-240</v>
      </c>
      <c r="I139" s="16">
        <f t="shared" si="3"/>
        <v>26221.26</v>
      </c>
    </row>
    <row r="140" ht="22.5" customHeight="1">
      <c r="A140" s="8">
        <v>46016.0</v>
      </c>
      <c r="B140" s="9" t="str">
        <f t="shared" si="1"/>
        <v>Dec-2025</v>
      </c>
      <c r="C140" s="10" t="s">
        <v>99</v>
      </c>
      <c r="D140" s="11" t="s">
        <v>15</v>
      </c>
      <c r="E140" s="12" t="s">
        <v>22</v>
      </c>
      <c r="F140" s="13">
        <v>62.0</v>
      </c>
      <c r="G140" s="13"/>
      <c r="H140" s="15">
        <f t="shared" si="2"/>
        <v>-62</v>
      </c>
      <c r="I140" s="16">
        <f t="shared" si="3"/>
        <v>26159.26</v>
      </c>
    </row>
    <row r="141" ht="22.5" customHeight="1">
      <c r="A141" s="8">
        <v>46017.0</v>
      </c>
      <c r="B141" s="9" t="str">
        <f t="shared" si="1"/>
        <v>Dec-2025</v>
      </c>
      <c r="C141" s="10" t="s">
        <v>9</v>
      </c>
      <c r="D141" s="11" t="s">
        <v>10</v>
      </c>
      <c r="E141" s="12" t="s">
        <v>11</v>
      </c>
      <c r="F141" s="13">
        <v>1702.0</v>
      </c>
      <c r="G141" s="14"/>
      <c r="H141" s="15">
        <f t="shared" si="2"/>
        <v>-1702</v>
      </c>
      <c r="I141" s="16">
        <f t="shared" si="3"/>
        <v>24457.26</v>
      </c>
    </row>
    <row r="142" ht="22.5" customHeight="1">
      <c r="A142" s="8">
        <v>46017.0</v>
      </c>
      <c r="B142" s="9" t="str">
        <f t="shared" si="1"/>
        <v>Dec-2025</v>
      </c>
      <c r="C142" s="10" t="s">
        <v>9</v>
      </c>
      <c r="D142" s="11" t="s">
        <v>10</v>
      </c>
      <c r="E142" s="12" t="s">
        <v>11</v>
      </c>
      <c r="F142" s="13">
        <v>885.0</v>
      </c>
      <c r="G142" s="14"/>
      <c r="H142" s="15">
        <f t="shared" si="2"/>
        <v>-885</v>
      </c>
      <c r="I142" s="16">
        <f t="shared" si="3"/>
        <v>23572.26</v>
      </c>
    </row>
    <row r="143" ht="22.5" customHeight="1">
      <c r="A143" s="8">
        <v>46017.0</v>
      </c>
      <c r="B143" s="9" t="str">
        <f t="shared" si="1"/>
        <v>Dec-2025</v>
      </c>
      <c r="C143" s="10" t="s">
        <v>30</v>
      </c>
      <c r="D143" s="11" t="s">
        <v>13</v>
      </c>
      <c r="E143" s="12" t="s">
        <v>11</v>
      </c>
      <c r="F143" s="13">
        <v>24.0</v>
      </c>
      <c r="G143" s="14"/>
      <c r="H143" s="15">
        <f t="shared" si="2"/>
        <v>-24</v>
      </c>
      <c r="I143" s="16">
        <f t="shared" si="3"/>
        <v>23548.26</v>
      </c>
    </row>
    <row r="144" ht="22.5" customHeight="1">
      <c r="A144" s="8">
        <v>46017.0</v>
      </c>
      <c r="B144" s="9" t="str">
        <f t="shared" si="1"/>
        <v>Dec-2025</v>
      </c>
      <c r="C144" s="10" t="s">
        <v>100</v>
      </c>
      <c r="D144" s="11" t="s">
        <v>51</v>
      </c>
      <c r="E144" s="12" t="s">
        <v>11</v>
      </c>
      <c r="F144" s="13">
        <v>50000.0</v>
      </c>
      <c r="G144" s="14"/>
      <c r="H144" s="15">
        <f t="shared" si="2"/>
        <v>-50000</v>
      </c>
      <c r="I144" s="16">
        <f t="shared" si="3"/>
        <v>-26451.74</v>
      </c>
    </row>
    <row r="145" ht="22.5" customHeight="1">
      <c r="A145" s="8">
        <v>46017.0</v>
      </c>
      <c r="B145" s="9" t="str">
        <f t="shared" si="1"/>
        <v>Dec-2025</v>
      </c>
      <c r="C145" s="10" t="s">
        <v>101</v>
      </c>
      <c r="D145" s="11" t="s">
        <v>51</v>
      </c>
      <c r="E145" s="12" t="s">
        <v>11</v>
      </c>
      <c r="F145" s="14"/>
      <c r="G145" s="13">
        <v>50000.0</v>
      </c>
      <c r="H145" s="15">
        <f t="shared" si="2"/>
        <v>50000</v>
      </c>
      <c r="I145" s="16">
        <f t="shared" si="3"/>
        <v>23548.26</v>
      </c>
    </row>
    <row r="146" ht="22.5" customHeight="1">
      <c r="A146" s="8">
        <v>46017.0</v>
      </c>
      <c r="B146" s="9" t="str">
        <f t="shared" si="1"/>
        <v>Dec-2025</v>
      </c>
      <c r="C146" s="10" t="s">
        <v>102</v>
      </c>
      <c r="D146" s="11" t="s">
        <v>10</v>
      </c>
      <c r="E146" s="12" t="s">
        <v>19</v>
      </c>
      <c r="F146" s="13"/>
      <c r="G146" s="13">
        <v>885.0</v>
      </c>
      <c r="H146" s="15">
        <f t="shared" si="2"/>
        <v>885</v>
      </c>
      <c r="I146" s="16">
        <f t="shared" si="3"/>
        <v>24433.26</v>
      </c>
    </row>
    <row r="147" ht="22.5" customHeight="1">
      <c r="A147" s="8">
        <v>46017.0</v>
      </c>
      <c r="B147" s="9" t="str">
        <f t="shared" si="1"/>
        <v>Dec-2025</v>
      </c>
      <c r="C147" s="10" t="s">
        <v>103</v>
      </c>
      <c r="D147" s="11" t="s">
        <v>15</v>
      </c>
      <c r="E147" s="12" t="s">
        <v>19</v>
      </c>
      <c r="F147" s="13">
        <v>499.0</v>
      </c>
      <c r="G147" s="13"/>
      <c r="H147" s="15">
        <f t="shared" si="2"/>
        <v>-499</v>
      </c>
      <c r="I147" s="16">
        <f t="shared" si="3"/>
        <v>23934.26</v>
      </c>
    </row>
    <row r="148" ht="22.5" customHeight="1">
      <c r="A148" s="8">
        <v>46017.0</v>
      </c>
      <c r="B148" s="9" t="str">
        <f t="shared" si="1"/>
        <v>Dec-2025</v>
      </c>
      <c r="C148" s="10" t="s">
        <v>104</v>
      </c>
      <c r="D148" s="11" t="s">
        <v>10</v>
      </c>
      <c r="E148" s="12" t="s">
        <v>22</v>
      </c>
      <c r="F148" s="13"/>
      <c r="G148" s="13">
        <v>1702.0</v>
      </c>
      <c r="H148" s="15">
        <f t="shared" si="2"/>
        <v>1702</v>
      </c>
      <c r="I148" s="16">
        <f t="shared" si="3"/>
        <v>25636.26</v>
      </c>
    </row>
    <row r="149" ht="22.5" customHeight="1">
      <c r="A149" s="8">
        <v>46017.0</v>
      </c>
      <c r="B149" s="9" t="str">
        <f t="shared" si="1"/>
        <v>Dec-2025</v>
      </c>
      <c r="C149" s="10" t="s">
        <v>105</v>
      </c>
      <c r="D149" s="11" t="s">
        <v>15</v>
      </c>
      <c r="E149" s="12" t="s">
        <v>22</v>
      </c>
      <c r="F149" s="13">
        <v>800.0</v>
      </c>
      <c r="G149" s="13"/>
      <c r="H149" s="15">
        <f t="shared" si="2"/>
        <v>-800</v>
      </c>
      <c r="I149" s="16">
        <f t="shared" si="3"/>
        <v>24836.26</v>
      </c>
    </row>
    <row r="150" ht="22.5" customHeight="1">
      <c r="A150" s="8">
        <v>46017.0</v>
      </c>
      <c r="B150" s="9" t="str">
        <f t="shared" si="1"/>
        <v>Dec-2025</v>
      </c>
      <c r="C150" s="10" t="s">
        <v>105</v>
      </c>
      <c r="D150" s="11" t="s">
        <v>15</v>
      </c>
      <c r="E150" s="12" t="s">
        <v>22</v>
      </c>
      <c r="F150" s="13">
        <v>1600.0</v>
      </c>
      <c r="G150" s="13"/>
      <c r="H150" s="15">
        <f t="shared" si="2"/>
        <v>-1600</v>
      </c>
      <c r="I150" s="16">
        <f t="shared" si="3"/>
        <v>23236.26</v>
      </c>
    </row>
    <row r="151" ht="22.5" customHeight="1">
      <c r="A151" s="8">
        <v>46018.0</v>
      </c>
      <c r="B151" s="9" t="str">
        <f t="shared" si="1"/>
        <v>Dec-2025</v>
      </c>
      <c r="C151" s="10" t="s">
        <v>45</v>
      </c>
      <c r="D151" s="11" t="s">
        <v>15</v>
      </c>
      <c r="E151" s="12" t="s">
        <v>19</v>
      </c>
      <c r="F151" s="13"/>
      <c r="G151" s="13">
        <v>50.0</v>
      </c>
      <c r="H151" s="15">
        <f t="shared" si="2"/>
        <v>50</v>
      </c>
      <c r="I151" s="16">
        <f t="shared" si="3"/>
        <v>23286.26</v>
      </c>
    </row>
    <row r="152" ht="22.5" customHeight="1">
      <c r="A152" s="8">
        <v>46020.0</v>
      </c>
      <c r="B152" s="9" t="str">
        <f t="shared" si="1"/>
        <v>Dec-2025</v>
      </c>
      <c r="C152" s="10" t="s">
        <v>106</v>
      </c>
      <c r="D152" s="11" t="s">
        <v>15</v>
      </c>
      <c r="E152" s="12" t="s">
        <v>19</v>
      </c>
      <c r="F152" s="13">
        <v>2703.0</v>
      </c>
      <c r="G152" s="13"/>
      <c r="H152" s="15">
        <f t="shared" si="2"/>
        <v>-2703</v>
      </c>
      <c r="I152" s="16">
        <f t="shared" si="3"/>
        <v>20583.26</v>
      </c>
    </row>
    <row r="153" ht="22.5" customHeight="1">
      <c r="A153" s="8">
        <v>46021.0</v>
      </c>
      <c r="B153" s="9" t="str">
        <f t="shared" si="1"/>
        <v>Dec-2025</v>
      </c>
      <c r="C153" s="10" t="s">
        <v>107</v>
      </c>
      <c r="D153" s="11" t="s">
        <v>15</v>
      </c>
      <c r="E153" s="12" t="s">
        <v>11</v>
      </c>
      <c r="F153" s="13">
        <v>5.9</v>
      </c>
      <c r="G153" s="13"/>
      <c r="H153" s="15">
        <f t="shared" si="2"/>
        <v>-5.9</v>
      </c>
      <c r="I153" s="16">
        <f t="shared" si="3"/>
        <v>20577.36</v>
      </c>
    </row>
    <row r="154" ht="22.5" customHeight="1">
      <c r="A154" s="8">
        <v>46021.0</v>
      </c>
      <c r="B154" s="9" t="str">
        <f t="shared" si="1"/>
        <v>Dec-2025</v>
      </c>
      <c r="C154" s="10" t="s">
        <v>108</v>
      </c>
      <c r="D154" s="11" t="s">
        <v>15</v>
      </c>
      <c r="E154" s="12" t="s">
        <v>11</v>
      </c>
      <c r="F154" s="13"/>
      <c r="G154" s="13">
        <v>1284.0</v>
      </c>
      <c r="H154" s="15">
        <f t="shared" si="2"/>
        <v>1284</v>
      </c>
      <c r="I154" s="16">
        <f t="shared" si="3"/>
        <v>21861.36</v>
      </c>
    </row>
    <row r="155" ht="22.5" customHeight="1">
      <c r="A155" s="8">
        <v>46021.0</v>
      </c>
      <c r="B155" s="9" t="str">
        <f t="shared" si="1"/>
        <v>Dec-2025</v>
      </c>
      <c r="C155" s="10" t="s">
        <v>109</v>
      </c>
      <c r="D155" s="11" t="s">
        <v>51</v>
      </c>
      <c r="E155" s="12" t="s">
        <v>11</v>
      </c>
      <c r="F155" s="13">
        <v>5100.0</v>
      </c>
      <c r="G155" s="13"/>
      <c r="H155" s="15">
        <f t="shared" si="2"/>
        <v>-5100</v>
      </c>
      <c r="I155" s="16">
        <f t="shared" si="3"/>
        <v>16761.36</v>
      </c>
    </row>
    <row r="156" ht="22.5" customHeight="1">
      <c r="A156" s="8">
        <v>46021.0</v>
      </c>
      <c r="B156" s="9" t="str">
        <f t="shared" si="1"/>
        <v>Dec-2025</v>
      </c>
      <c r="C156" s="18" t="s">
        <v>110</v>
      </c>
      <c r="D156" s="11" t="s">
        <v>15</v>
      </c>
      <c r="E156" s="12" t="s">
        <v>19</v>
      </c>
      <c r="F156" s="13">
        <v>849.15</v>
      </c>
      <c r="G156" s="13"/>
      <c r="H156" s="15">
        <f t="shared" si="2"/>
        <v>-849.15</v>
      </c>
      <c r="I156" s="16">
        <f t="shared" si="3"/>
        <v>15912.21</v>
      </c>
    </row>
    <row r="157" ht="22.5" customHeight="1">
      <c r="A157" s="8">
        <v>46021.0</v>
      </c>
      <c r="B157" s="9" t="str">
        <f t="shared" si="1"/>
        <v>Dec-2025</v>
      </c>
      <c r="C157" s="10" t="s">
        <v>111</v>
      </c>
      <c r="D157" s="11" t="s">
        <v>15</v>
      </c>
      <c r="E157" s="12" t="s">
        <v>22</v>
      </c>
      <c r="F157" s="13">
        <v>30.0</v>
      </c>
      <c r="G157" s="13"/>
      <c r="H157" s="15">
        <f t="shared" si="2"/>
        <v>-30</v>
      </c>
      <c r="I157" s="16">
        <f t="shared" si="3"/>
        <v>15882.21</v>
      </c>
    </row>
    <row r="158" ht="22.5" customHeight="1">
      <c r="A158" s="8">
        <v>46021.0</v>
      </c>
      <c r="B158" s="9" t="str">
        <f t="shared" si="1"/>
        <v>Dec-2025</v>
      </c>
      <c r="C158" s="18" t="s">
        <v>112</v>
      </c>
      <c r="D158" s="11" t="s">
        <v>15</v>
      </c>
      <c r="E158" s="12" t="s">
        <v>22</v>
      </c>
      <c r="F158" s="13">
        <v>3850.0</v>
      </c>
      <c r="G158" s="13"/>
      <c r="H158" s="15">
        <f t="shared" si="2"/>
        <v>-3850</v>
      </c>
      <c r="I158" s="16">
        <f t="shared" si="3"/>
        <v>12032.21</v>
      </c>
    </row>
    <row r="159" ht="22.5" customHeight="1">
      <c r="A159" s="8">
        <v>46022.0</v>
      </c>
      <c r="B159" s="9" t="str">
        <f t="shared" si="1"/>
        <v>Dec-2025</v>
      </c>
      <c r="C159" s="18" t="s">
        <v>113</v>
      </c>
      <c r="D159" s="11" t="s">
        <v>15</v>
      </c>
      <c r="E159" s="12" t="s">
        <v>11</v>
      </c>
      <c r="F159" s="13"/>
      <c r="G159" s="13">
        <v>240.0</v>
      </c>
      <c r="H159" s="15">
        <f t="shared" si="2"/>
        <v>240</v>
      </c>
      <c r="I159" s="16">
        <f t="shared" si="3"/>
        <v>12272.21</v>
      </c>
    </row>
    <row r="160" ht="22.5" customHeight="1">
      <c r="A160" s="8">
        <v>46022.0</v>
      </c>
      <c r="B160" s="9" t="str">
        <f t="shared" si="1"/>
        <v>Dec-2025</v>
      </c>
      <c r="C160" s="10" t="s">
        <v>114</v>
      </c>
      <c r="D160" s="11" t="s">
        <v>51</v>
      </c>
      <c r="E160" s="12" t="s">
        <v>11</v>
      </c>
      <c r="F160" s="13"/>
      <c r="G160" s="13">
        <v>5100.0</v>
      </c>
      <c r="H160" s="15">
        <f t="shared" si="2"/>
        <v>5100</v>
      </c>
      <c r="I160" s="16">
        <f t="shared" si="3"/>
        <v>17372.21</v>
      </c>
    </row>
    <row r="161" ht="22.5" customHeight="1">
      <c r="A161" s="8">
        <v>46022.0</v>
      </c>
      <c r="B161" s="9" t="str">
        <f t="shared" si="1"/>
        <v>Dec-2025</v>
      </c>
      <c r="C161" s="10" t="s">
        <v>115</v>
      </c>
      <c r="D161" s="11" t="s">
        <v>15</v>
      </c>
      <c r="E161" s="12" t="s">
        <v>19</v>
      </c>
      <c r="F161" s="13">
        <v>43.9</v>
      </c>
      <c r="G161" s="13"/>
      <c r="H161" s="15">
        <f t="shared" si="2"/>
        <v>-43.9</v>
      </c>
      <c r="I161" s="16">
        <f t="shared" si="3"/>
        <v>17328.31</v>
      </c>
    </row>
    <row r="162" ht="22.5" customHeight="1">
      <c r="A162" s="8">
        <v>46022.0</v>
      </c>
      <c r="B162" s="9" t="str">
        <f t="shared" si="1"/>
        <v>Dec-2025</v>
      </c>
      <c r="C162" s="10" t="s">
        <v>116</v>
      </c>
      <c r="D162" s="11" t="s">
        <v>15</v>
      </c>
      <c r="E162" s="12" t="s">
        <v>19</v>
      </c>
      <c r="F162" s="13">
        <v>520.65</v>
      </c>
      <c r="G162" s="13"/>
      <c r="H162" s="15">
        <f t="shared" si="2"/>
        <v>-520.65</v>
      </c>
      <c r="I162" s="16">
        <f t="shared" si="3"/>
        <v>16807.66</v>
      </c>
    </row>
    <row r="163" ht="22.5" customHeight="1">
      <c r="A163" s="8">
        <v>46022.0</v>
      </c>
      <c r="B163" s="9" t="str">
        <f t="shared" si="1"/>
        <v>Dec-2025</v>
      </c>
      <c r="C163" s="10" t="s">
        <v>117</v>
      </c>
      <c r="D163" s="11" t="s">
        <v>15</v>
      </c>
      <c r="E163" s="12" t="s">
        <v>22</v>
      </c>
      <c r="F163" s="13">
        <v>634.0</v>
      </c>
      <c r="G163" s="13"/>
      <c r="H163" s="15">
        <f t="shared" si="2"/>
        <v>-634</v>
      </c>
      <c r="I163" s="16">
        <f t="shared" si="3"/>
        <v>16173.66</v>
      </c>
    </row>
    <row r="164" ht="22.5" customHeight="1">
      <c r="A164" s="8">
        <v>46023.0</v>
      </c>
      <c r="B164" s="9" t="str">
        <f t="shared" si="1"/>
        <v>Jan-2026</v>
      </c>
      <c r="C164" s="10" t="s">
        <v>9</v>
      </c>
      <c r="D164" s="11" t="s">
        <v>10</v>
      </c>
      <c r="E164" s="12" t="s">
        <v>11</v>
      </c>
      <c r="F164" s="21">
        <v>43.9</v>
      </c>
      <c r="G164" s="14"/>
      <c r="H164" s="15">
        <f t="shared" si="2"/>
        <v>-43.9</v>
      </c>
      <c r="I164" s="16">
        <f t="shared" si="3"/>
        <v>16129.76</v>
      </c>
    </row>
    <row r="165" ht="22.5" customHeight="1">
      <c r="A165" s="8">
        <v>46023.0</v>
      </c>
      <c r="B165" s="9" t="str">
        <f t="shared" si="1"/>
        <v>Jan-2026</v>
      </c>
      <c r="C165" s="10" t="s">
        <v>118</v>
      </c>
      <c r="D165" s="11" t="s">
        <v>15</v>
      </c>
      <c r="E165" s="12" t="s">
        <v>11</v>
      </c>
      <c r="F165" s="14"/>
      <c r="G165" s="21">
        <v>43.9</v>
      </c>
      <c r="H165" s="15">
        <f t="shared" si="2"/>
        <v>43.9</v>
      </c>
      <c r="I165" s="16">
        <f t="shared" si="3"/>
        <v>16173.66</v>
      </c>
    </row>
    <row r="166" ht="22.5" customHeight="1">
      <c r="A166" s="8">
        <v>46023.0</v>
      </c>
      <c r="B166" s="9" t="str">
        <f t="shared" si="1"/>
        <v>Jan-2026</v>
      </c>
      <c r="C166" s="10" t="s">
        <v>119</v>
      </c>
      <c r="D166" s="11" t="s">
        <v>15</v>
      </c>
      <c r="E166" s="12" t="s">
        <v>19</v>
      </c>
      <c r="F166" s="13"/>
      <c r="G166" s="13">
        <v>42.46</v>
      </c>
      <c r="H166" s="15">
        <f t="shared" si="2"/>
        <v>42.46</v>
      </c>
      <c r="I166" s="16">
        <f t="shared" si="3"/>
        <v>16216.12</v>
      </c>
    </row>
    <row r="167" ht="22.5" customHeight="1">
      <c r="A167" s="8">
        <v>46023.0</v>
      </c>
      <c r="B167" s="9" t="str">
        <f t="shared" si="1"/>
        <v>Jan-2026</v>
      </c>
      <c r="C167" s="10" t="s">
        <v>120</v>
      </c>
      <c r="D167" s="11" t="s">
        <v>10</v>
      </c>
      <c r="E167" s="12" t="s">
        <v>22</v>
      </c>
      <c r="F167" s="13"/>
      <c r="G167" s="13">
        <v>43.9</v>
      </c>
      <c r="H167" s="15">
        <f t="shared" si="2"/>
        <v>43.9</v>
      </c>
      <c r="I167" s="16">
        <f t="shared" si="3"/>
        <v>16260.02</v>
      </c>
    </row>
    <row r="168" ht="22.5" customHeight="1">
      <c r="A168" s="8">
        <v>46023.0</v>
      </c>
      <c r="B168" s="9" t="str">
        <f t="shared" si="1"/>
        <v>Jan-2026</v>
      </c>
      <c r="C168" s="10" t="s">
        <v>121</v>
      </c>
      <c r="D168" s="11" t="s">
        <v>10</v>
      </c>
      <c r="E168" s="12" t="s">
        <v>22</v>
      </c>
      <c r="F168" s="13"/>
      <c r="G168" s="13">
        <v>2000.0</v>
      </c>
      <c r="H168" s="15">
        <f t="shared" si="2"/>
        <v>2000</v>
      </c>
      <c r="I168" s="16">
        <f t="shared" si="3"/>
        <v>18260.02</v>
      </c>
    </row>
    <row r="169" ht="22.5" customHeight="1">
      <c r="A169" s="8">
        <v>46024.0</v>
      </c>
      <c r="B169" s="9" t="str">
        <f t="shared" si="1"/>
        <v>Jan-2026</v>
      </c>
      <c r="C169" s="10" t="s">
        <v>9</v>
      </c>
      <c r="D169" s="11" t="s">
        <v>10</v>
      </c>
      <c r="E169" s="12" t="s">
        <v>11</v>
      </c>
      <c r="F169" s="21">
        <v>2000.0</v>
      </c>
      <c r="G169" s="14"/>
      <c r="H169" s="15">
        <f t="shared" si="2"/>
        <v>-2000</v>
      </c>
      <c r="I169" s="16">
        <f t="shared" si="3"/>
        <v>16260.02</v>
      </c>
    </row>
    <row r="170" ht="22.5" customHeight="1">
      <c r="A170" s="8">
        <v>46024.0</v>
      </c>
      <c r="B170" s="9" t="str">
        <f t="shared" si="1"/>
        <v>Jan-2026</v>
      </c>
      <c r="C170" s="10" t="s">
        <v>122</v>
      </c>
      <c r="D170" s="11" t="s">
        <v>15</v>
      </c>
      <c r="E170" s="12" t="s">
        <v>11</v>
      </c>
      <c r="F170" s="21">
        <v>200.0</v>
      </c>
      <c r="G170" s="14"/>
      <c r="H170" s="15">
        <f t="shared" si="2"/>
        <v>-200</v>
      </c>
      <c r="I170" s="16">
        <f t="shared" si="3"/>
        <v>16060.02</v>
      </c>
    </row>
    <row r="171" ht="22.5" customHeight="1">
      <c r="A171" s="8">
        <v>46024.0</v>
      </c>
      <c r="B171" s="9" t="str">
        <f t="shared" si="1"/>
        <v>Jan-2026</v>
      </c>
      <c r="C171" s="10" t="s">
        <v>115</v>
      </c>
      <c r="D171" s="11" t="s">
        <v>15</v>
      </c>
      <c r="E171" s="12" t="s">
        <v>19</v>
      </c>
      <c r="F171" s="13">
        <v>198.0</v>
      </c>
      <c r="G171" s="13"/>
      <c r="H171" s="15">
        <f t="shared" si="2"/>
        <v>-198</v>
      </c>
      <c r="I171" s="16">
        <f t="shared" si="3"/>
        <v>15862.02</v>
      </c>
    </row>
    <row r="172" ht="22.5" customHeight="1">
      <c r="A172" s="8">
        <v>46024.0</v>
      </c>
      <c r="B172" s="9" t="str">
        <f t="shared" si="1"/>
        <v>Jan-2026</v>
      </c>
      <c r="C172" s="10" t="s">
        <v>123</v>
      </c>
      <c r="D172" s="11" t="s">
        <v>15</v>
      </c>
      <c r="E172" s="12" t="s">
        <v>19</v>
      </c>
      <c r="F172" s="13">
        <v>800.0</v>
      </c>
      <c r="G172" s="13"/>
      <c r="H172" s="15">
        <f t="shared" si="2"/>
        <v>-800</v>
      </c>
      <c r="I172" s="16">
        <f t="shared" si="3"/>
        <v>15062.02</v>
      </c>
    </row>
    <row r="173" ht="22.5" customHeight="1">
      <c r="A173" s="8">
        <v>46024.0</v>
      </c>
      <c r="B173" s="9" t="str">
        <f t="shared" si="1"/>
        <v>Jan-2026</v>
      </c>
      <c r="C173" s="10" t="s">
        <v>123</v>
      </c>
      <c r="D173" s="11" t="s">
        <v>15</v>
      </c>
      <c r="E173" s="12" t="s">
        <v>19</v>
      </c>
      <c r="F173" s="13">
        <v>800.0</v>
      </c>
      <c r="G173" s="13"/>
      <c r="H173" s="15">
        <f t="shared" si="2"/>
        <v>-800</v>
      </c>
      <c r="I173" s="16">
        <f t="shared" si="3"/>
        <v>14262.02</v>
      </c>
    </row>
    <row r="174" ht="22.5" customHeight="1">
      <c r="A174" s="8">
        <v>46024.0</v>
      </c>
      <c r="B174" s="9" t="str">
        <f t="shared" si="1"/>
        <v>Jan-2026</v>
      </c>
      <c r="C174" s="10" t="s">
        <v>123</v>
      </c>
      <c r="D174" s="11" t="s">
        <v>15</v>
      </c>
      <c r="E174" s="12" t="s">
        <v>19</v>
      </c>
      <c r="F174" s="13">
        <v>400.0</v>
      </c>
      <c r="G174" s="13"/>
      <c r="H174" s="15">
        <f t="shared" si="2"/>
        <v>-400</v>
      </c>
      <c r="I174" s="16">
        <f t="shared" si="3"/>
        <v>13862.02</v>
      </c>
    </row>
    <row r="175" ht="22.5" customHeight="1">
      <c r="A175" s="8">
        <v>46024.0</v>
      </c>
      <c r="B175" s="9" t="str">
        <f t="shared" si="1"/>
        <v>Jan-2026</v>
      </c>
      <c r="C175" s="10" t="s">
        <v>124</v>
      </c>
      <c r="D175" s="11" t="s">
        <v>15</v>
      </c>
      <c r="E175" s="12" t="s">
        <v>19</v>
      </c>
      <c r="F175" s="13"/>
      <c r="G175" s="13">
        <v>26.03</v>
      </c>
      <c r="H175" s="15">
        <f t="shared" si="2"/>
        <v>26.03</v>
      </c>
      <c r="I175" s="16">
        <f t="shared" si="3"/>
        <v>13888.05</v>
      </c>
    </row>
    <row r="176" ht="22.5" customHeight="1">
      <c r="A176" s="8">
        <v>46025.0</v>
      </c>
      <c r="B176" s="9" t="str">
        <f t="shared" si="1"/>
        <v>Jan-2026</v>
      </c>
      <c r="C176" s="10" t="s">
        <v>28</v>
      </c>
      <c r="D176" s="11" t="s">
        <v>17</v>
      </c>
      <c r="E176" s="12" t="s">
        <v>11</v>
      </c>
      <c r="F176" s="14"/>
      <c r="G176" s="21">
        <v>7000.0</v>
      </c>
      <c r="H176" s="15">
        <f t="shared" si="2"/>
        <v>7000</v>
      </c>
      <c r="I176" s="16">
        <f t="shared" si="3"/>
        <v>20888.05</v>
      </c>
    </row>
    <row r="177" ht="22.5" customHeight="1">
      <c r="A177" s="8">
        <v>46027.0</v>
      </c>
      <c r="B177" s="9" t="str">
        <f t="shared" si="1"/>
        <v>Jan-2026</v>
      </c>
      <c r="C177" s="10" t="s">
        <v>125</v>
      </c>
      <c r="D177" s="11" t="s">
        <v>10</v>
      </c>
      <c r="E177" s="12" t="s">
        <v>11</v>
      </c>
      <c r="F177" s="21">
        <v>2000.0</v>
      </c>
      <c r="G177" s="14"/>
      <c r="H177" s="15">
        <f t="shared" si="2"/>
        <v>-2000</v>
      </c>
      <c r="I177" s="16">
        <f t="shared" si="3"/>
        <v>18888.05</v>
      </c>
    </row>
    <row r="178" ht="22.5" customHeight="1">
      <c r="A178" s="8">
        <v>46028.0</v>
      </c>
      <c r="B178" s="9" t="str">
        <f t="shared" si="1"/>
        <v>Jan-2026</v>
      </c>
      <c r="C178" s="10" t="s">
        <v>9</v>
      </c>
      <c r="D178" s="11" t="s">
        <v>10</v>
      </c>
      <c r="E178" s="12" t="s">
        <v>11</v>
      </c>
      <c r="F178" s="21">
        <v>328.23</v>
      </c>
      <c r="G178" s="14"/>
      <c r="H178" s="15">
        <f t="shared" si="2"/>
        <v>-328.23</v>
      </c>
      <c r="I178" s="16">
        <f t="shared" si="3"/>
        <v>18559.82</v>
      </c>
    </row>
    <row r="179" ht="22.5" customHeight="1">
      <c r="A179" s="8">
        <v>46028.0</v>
      </c>
      <c r="B179" s="9" t="str">
        <f t="shared" si="1"/>
        <v>Jan-2026</v>
      </c>
      <c r="C179" s="10" t="s">
        <v>126</v>
      </c>
      <c r="D179" s="11" t="s">
        <v>13</v>
      </c>
      <c r="E179" s="12" t="s">
        <v>11</v>
      </c>
      <c r="F179" s="14"/>
      <c r="G179" s="21">
        <v>3868.54</v>
      </c>
      <c r="H179" s="15">
        <f t="shared" si="2"/>
        <v>3868.54</v>
      </c>
      <c r="I179" s="16">
        <f t="shared" si="3"/>
        <v>22428.36</v>
      </c>
    </row>
    <row r="180" ht="22.5" customHeight="1">
      <c r="A180" s="8">
        <v>46028.0</v>
      </c>
      <c r="B180" s="9" t="str">
        <f t="shared" si="1"/>
        <v>Jan-2026</v>
      </c>
      <c r="C180" s="10" t="s">
        <v>127</v>
      </c>
      <c r="D180" s="11" t="s">
        <v>15</v>
      </c>
      <c r="E180" s="12" t="s">
        <v>11</v>
      </c>
      <c r="F180" s="21">
        <v>3000.0</v>
      </c>
      <c r="G180" s="14"/>
      <c r="H180" s="15">
        <f t="shared" si="2"/>
        <v>-3000</v>
      </c>
      <c r="I180" s="16">
        <f t="shared" si="3"/>
        <v>19428.36</v>
      </c>
    </row>
    <row r="181" ht="22.5" customHeight="1">
      <c r="A181" s="8">
        <v>46028.0</v>
      </c>
      <c r="B181" s="9" t="str">
        <f t="shared" si="1"/>
        <v>Jan-2026</v>
      </c>
      <c r="C181" s="10" t="s">
        <v>128</v>
      </c>
      <c r="D181" s="11" t="s">
        <v>15</v>
      </c>
      <c r="E181" s="12" t="s">
        <v>11</v>
      </c>
      <c r="F181" s="21">
        <v>5650.0</v>
      </c>
      <c r="G181" s="14"/>
      <c r="H181" s="15">
        <f t="shared" si="2"/>
        <v>-5650</v>
      </c>
      <c r="I181" s="16">
        <f t="shared" si="3"/>
        <v>13778.36</v>
      </c>
    </row>
    <row r="182" ht="22.5" customHeight="1">
      <c r="A182" s="8">
        <v>46028.0</v>
      </c>
      <c r="B182" s="9" t="str">
        <f t="shared" si="1"/>
        <v>Jan-2026</v>
      </c>
      <c r="C182" s="10" t="s">
        <v>129</v>
      </c>
      <c r="D182" s="11" t="s">
        <v>15</v>
      </c>
      <c r="E182" s="12" t="s">
        <v>19</v>
      </c>
      <c r="F182" s="13">
        <v>75.0</v>
      </c>
      <c r="G182" s="13"/>
      <c r="H182" s="15">
        <f t="shared" si="2"/>
        <v>-75</v>
      </c>
      <c r="I182" s="16">
        <f t="shared" si="3"/>
        <v>13703.36</v>
      </c>
    </row>
    <row r="183" ht="22.5" customHeight="1">
      <c r="A183" s="8">
        <v>46028.0</v>
      </c>
      <c r="B183" s="9" t="str">
        <f t="shared" si="1"/>
        <v>Jan-2026</v>
      </c>
      <c r="C183" s="10" t="s">
        <v>129</v>
      </c>
      <c r="D183" s="11" t="s">
        <v>15</v>
      </c>
      <c r="E183" s="12" t="s">
        <v>19</v>
      </c>
      <c r="F183" s="13">
        <v>400.0</v>
      </c>
      <c r="G183" s="13"/>
      <c r="H183" s="15">
        <f t="shared" si="2"/>
        <v>-400</v>
      </c>
      <c r="I183" s="16">
        <f t="shared" si="3"/>
        <v>13303.36</v>
      </c>
    </row>
    <row r="184" ht="22.5" customHeight="1">
      <c r="A184" s="8">
        <v>46028.0</v>
      </c>
      <c r="B184" s="9" t="str">
        <f t="shared" si="1"/>
        <v>Jan-2026</v>
      </c>
      <c r="C184" s="10" t="s">
        <v>116</v>
      </c>
      <c r="D184" s="11" t="s">
        <v>15</v>
      </c>
      <c r="E184" s="12" t="s">
        <v>19</v>
      </c>
      <c r="F184" s="13">
        <v>1041.3</v>
      </c>
      <c r="G184" s="13"/>
      <c r="H184" s="15">
        <f t="shared" si="2"/>
        <v>-1041.3</v>
      </c>
      <c r="I184" s="16">
        <f t="shared" si="3"/>
        <v>12262.06</v>
      </c>
    </row>
    <row r="185" ht="22.5" customHeight="1">
      <c r="A185" s="8">
        <v>46028.0</v>
      </c>
      <c r="B185" s="9" t="str">
        <f t="shared" si="1"/>
        <v>Jan-2026</v>
      </c>
      <c r="C185" s="10" t="s">
        <v>130</v>
      </c>
      <c r="D185" s="11" t="s">
        <v>10</v>
      </c>
      <c r="E185" s="12" t="s">
        <v>22</v>
      </c>
      <c r="F185" s="13"/>
      <c r="G185" s="13">
        <v>428.23</v>
      </c>
      <c r="H185" s="15">
        <f t="shared" si="2"/>
        <v>428.23</v>
      </c>
      <c r="I185" s="16">
        <f t="shared" si="3"/>
        <v>12690.29</v>
      </c>
    </row>
    <row r="186" ht="22.5" customHeight="1">
      <c r="A186" s="8">
        <v>46030.0</v>
      </c>
      <c r="B186" s="9" t="str">
        <f t="shared" si="1"/>
        <v>Jan-2026</v>
      </c>
      <c r="C186" s="10" t="s">
        <v>9</v>
      </c>
      <c r="D186" s="11" t="s">
        <v>10</v>
      </c>
      <c r="E186" s="12" t="s">
        <v>11</v>
      </c>
      <c r="F186" s="21">
        <v>998.72</v>
      </c>
      <c r="G186" s="14"/>
      <c r="H186" s="15">
        <f t="shared" si="2"/>
        <v>-998.72</v>
      </c>
      <c r="I186" s="16">
        <f t="shared" si="3"/>
        <v>11691.57</v>
      </c>
    </row>
    <row r="187" ht="22.5" customHeight="1">
      <c r="A187" s="8">
        <v>46030.0</v>
      </c>
      <c r="B187" s="9" t="str">
        <f t="shared" si="1"/>
        <v>Jan-2026</v>
      </c>
      <c r="C187" s="10" t="s">
        <v>131</v>
      </c>
      <c r="D187" s="11" t="s">
        <v>13</v>
      </c>
      <c r="E187" s="12" t="s">
        <v>11</v>
      </c>
      <c r="F187" s="14"/>
      <c r="G187" s="21">
        <v>998.72</v>
      </c>
      <c r="H187" s="15">
        <f t="shared" si="2"/>
        <v>998.72</v>
      </c>
      <c r="I187" s="16">
        <f t="shared" si="3"/>
        <v>12690.29</v>
      </c>
    </row>
    <row r="188" ht="22.5" customHeight="1">
      <c r="A188" s="8">
        <v>46030.0</v>
      </c>
      <c r="B188" s="9" t="str">
        <f t="shared" si="1"/>
        <v>Jan-2026</v>
      </c>
      <c r="C188" s="10" t="s">
        <v>132</v>
      </c>
      <c r="D188" s="11" t="s">
        <v>15</v>
      </c>
      <c r="E188" s="12" t="s">
        <v>19</v>
      </c>
      <c r="F188" s="13"/>
      <c r="G188" s="13">
        <v>52.07</v>
      </c>
      <c r="H188" s="15">
        <f t="shared" si="2"/>
        <v>52.07</v>
      </c>
      <c r="I188" s="16">
        <f t="shared" si="3"/>
        <v>12742.36</v>
      </c>
    </row>
    <row r="189" ht="22.5" customHeight="1">
      <c r="A189" s="8">
        <v>46030.0</v>
      </c>
      <c r="B189" s="9" t="str">
        <f t="shared" si="1"/>
        <v>Jan-2026</v>
      </c>
      <c r="C189" s="10" t="s">
        <v>133</v>
      </c>
      <c r="D189" s="11" t="s">
        <v>10</v>
      </c>
      <c r="E189" s="12" t="s">
        <v>22</v>
      </c>
      <c r="F189" s="13"/>
      <c r="G189" s="13">
        <v>998.72</v>
      </c>
      <c r="H189" s="15">
        <f t="shared" si="2"/>
        <v>998.72</v>
      </c>
      <c r="I189" s="16">
        <f t="shared" si="3"/>
        <v>13741.08</v>
      </c>
    </row>
    <row r="190" ht="22.5" customHeight="1">
      <c r="A190" s="8">
        <v>46031.0</v>
      </c>
      <c r="B190" s="9" t="str">
        <f t="shared" si="1"/>
        <v>Jan-2026</v>
      </c>
      <c r="C190" s="10" t="s">
        <v>117</v>
      </c>
      <c r="D190" s="11" t="s">
        <v>15</v>
      </c>
      <c r="E190" s="12" t="s">
        <v>22</v>
      </c>
      <c r="F190" s="13">
        <v>394.0</v>
      </c>
      <c r="G190" s="13"/>
      <c r="H190" s="15">
        <f t="shared" si="2"/>
        <v>-394</v>
      </c>
      <c r="I190" s="16">
        <f t="shared" si="3"/>
        <v>13347.08</v>
      </c>
    </row>
    <row r="191" ht="22.5" customHeight="1">
      <c r="A191" s="8">
        <v>46032.0</v>
      </c>
      <c r="B191" s="9" t="str">
        <f t="shared" si="1"/>
        <v>Jan-2026</v>
      </c>
      <c r="C191" s="10" t="s">
        <v>134</v>
      </c>
      <c r="D191" s="11" t="s">
        <v>15</v>
      </c>
      <c r="E191" s="12" t="s">
        <v>11</v>
      </c>
      <c r="F191" s="14"/>
      <c r="G191" s="21">
        <v>100.0</v>
      </c>
      <c r="H191" s="15">
        <f t="shared" si="2"/>
        <v>100</v>
      </c>
      <c r="I191" s="16">
        <f t="shared" si="3"/>
        <v>13447.08</v>
      </c>
    </row>
    <row r="192" ht="22.5" customHeight="1">
      <c r="A192" s="8">
        <v>46032.0</v>
      </c>
      <c r="B192" s="9" t="str">
        <f t="shared" si="1"/>
        <v>Jan-2026</v>
      </c>
      <c r="C192" s="10" t="s">
        <v>135</v>
      </c>
      <c r="D192" s="11" t="s">
        <v>15</v>
      </c>
      <c r="E192" s="12" t="s">
        <v>11</v>
      </c>
      <c r="F192" s="21">
        <v>100.0</v>
      </c>
      <c r="G192" s="14"/>
      <c r="H192" s="15">
        <f t="shared" si="2"/>
        <v>-100</v>
      </c>
      <c r="I192" s="16">
        <f t="shared" si="3"/>
        <v>13347.08</v>
      </c>
    </row>
    <row r="193" ht="22.5" customHeight="1">
      <c r="A193" s="8">
        <v>46032.0</v>
      </c>
      <c r="B193" s="9" t="str">
        <f t="shared" si="1"/>
        <v>Jan-2026</v>
      </c>
      <c r="C193" s="10" t="s">
        <v>136</v>
      </c>
      <c r="D193" s="11" t="s">
        <v>15</v>
      </c>
      <c r="E193" s="12" t="s">
        <v>19</v>
      </c>
      <c r="F193" s="13">
        <v>102.95</v>
      </c>
      <c r="G193" s="13"/>
      <c r="H193" s="15">
        <f t="shared" si="2"/>
        <v>-102.95</v>
      </c>
      <c r="I193" s="16">
        <f t="shared" si="3"/>
        <v>13244.13</v>
      </c>
    </row>
    <row r="194" ht="22.5" customHeight="1">
      <c r="A194" s="8">
        <v>46033.0</v>
      </c>
      <c r="B194" s="9" t="str">
        <f t="shared" si="1"/>
        <v>Jan-2026</v>
      </c>
      <c r="C194" s="10" t="s">
        <v>9</v>
      </c>
      <c r="D194" s="11" t="s">
        <v>10</v>
      </c>
      <c r="E194" s="12" t="s">
        <v>11</v>
      </c>
      <c r="F194" s="21">
        <v>1836.0</v>
      </c>
      <c r="G194" s="14"/>
      <c r="H194" s="15">
        <f t="shared" si="2"/>
        <v>-1836</v>
      </c>
      <c r="I194" s="16">
        <f t="shared" si="3"/>
        <v>11408.13</v>
      </c>
    </row>
    <row r="195" ht="22.5" customHeight="1">
      <c r="A195" s="8">
        <v>46033.0</v>
      </c>
      <c r="B195" s="9" t="str">
        <f t="shared" si="1"/>
        <v>Jan-2026</v>
      </c>
      <c r="C195" s="10" t="s">
        <v>137</v>
      </c>
      <c r="D195" s="11" t="s">
        <v>15</v>
      </c>
      <c r="E195" s="12" t="s">
        <v>11</v>
      </c>
      <c r="F195" s="21">
        <v>164.0</v>
      </c>
      <c r="G195" s="14"/>
      <c r="H195" s="15">
        <f t="shared" si="2"/>
        <v>-164</v>
      </c>
      <c r="I195" s="16">
        <f t="shared" si="3"/>
        <v>11244.13</v>
      </c>
    </row>
    <row r="196" ht="22.5" customHeight="1">
      <c r="A196" s="8">
        <v>46033.0</v>
      </c>
      <c r="B196" s="9" t="str">
        <f t="shared" si="1"/>
        <v>Jan-2026</v>
      </c>
      <c r="C196" s="10" t="s">
        <v>138</v>
      </c>
      <c r="D196" s="11" t="s">
        <v>17</v>
      </c>
      <c r="E196" s="12" t="s">
        <v>11</v>
      </c>
      <c r="F196" s="14"/>
      <c r="G196" s="21">
        <v>2000.0</v>
      </c>
      <c r="H196" s="15">
        <f t="shared" si="2"/>
        <v>2000</v>
      </c>
      <c r="I196" s="16">
        <f t="shared" si="3"/>
        <v>13244.13</v>
      </c>
    </row>
    <row r="197" ht="22.5" customHeight="1">
      <c r="A197" s="8">
        <v>46033.0</v>
      </c>
      <c r="B197" s="9" t="str">
        <f t="shared" si="1"/>
        <v>Jan-2026</v>
      </c>
      <c r="C197" s="10" t="s">
        <v>139</v>
      </c>
      <c r="D197" s="11" t="s">
        <v>10</v>
      </c>
      <c r="E197" s="12" t="s">
        <v>19</v>
      </c>
      <c r="F197" s="13"/>
      <c r="G197" s="13">
        <v>1836.0</v>
      </c>
      <c r="H197" s="15">
        <f t="shared" si="2"/>
        <v>1836</v>
      </c>
      <c r="I197" s="16">
        <f t="shared" si="3"/>
        <v>15080.13</v>
      </c>
    </row>
    <row r="198" ht="22.5" customHeight="1">
      <c r="A198" s="8">
        <v>46033.0</v>
      </c>
      <c r="B198" s="9" t="str">
        <f t="shared" si="1"/>
        <v>Jan-2026</v>
      </c>
      <c r="C198" s="10" t="s">
        <v>140</v>
      </c>
      <c r="D198" s="11" t="s">
        <v>15</v>
      </c>
      <c r="E198" s="12" t="s">
        <v>22</v>
      </c>
      <c r="F198" s="13">
        <v>17.0</v>
      </c>
      <c r="G198" s="13"/>
      <c r="H198" s="15">
        <f t="shared" si="2"/>
        <v>-17</v>
      </c>
      <c r="I198" s="16">
        <f t="shared" si="3"/>
        <v>15063.13</v>
      </c>
    </row>
    <row r="199" ht="22.5" customHeight="1">
      <c r="A199" s="8">
        <v>46034.0</v>
      </c>
      <c r="B199" s="9" t="str">
        <f t="shared" si="1"/>
        <v>Jan-2026</v>
      </c>
      <c r="C199" s="10" t="s">
        <v>141</v>
      </c>
      <c r="D199" s="11" t="s">
        <v>13</v>
      </c>
      <c r="E199" s="12" t="s">
        <v>11</v>
      </c>
      <c r="F199" s="14"/>
      <c r="G199" s="21">
        <v>9.98</v>
      </c>
      <c r="H199" s="15">
        <f t="shared" si="2"/>
        <v>9.98</v>
      </c>
      <c r="I199" s="16">
        <f t="shared" si="3"/>
        <v>15073.11</v>
      </c>
    </row>
    <row r="200" ht="22.5" customHeight="1">
      <c r="A200" s="8">
        <v>46034.0</v>
      </c>
      <c r="B200" s="9" t="str">
        <f t="shared" si="1"/>
        <v>Jan-2026</v>
      </c>
      <c r="C200" s="10" t="s">
        <v>142</v>
      </c>
      <c r="D200" s="11" t="s">
        <v>15</v>
      </c>
      <c r="E200" s="12" t="s">
        <v>11</v>
      </c>
      <c r="F200" s="14"/>
      <c r="G200" s="21">
        <v>100.0</v>
      </c>
      <c r="H200" s="15">
        <f t="shared" si="2"/>
        <v>100</v>
      </c>
      <c r="I200" s="16">
        <f t="shared" si="3"/>
        <v>15173.11</v>
      </c>
    </row>
    <row r="201" ht="22.5" customHeight="1">
      <c r="A201" s="8">
        <v>46036.0</v>
      </c>
      <c r="B201" s="9" t="str">
        <f t="shared" si="1"/>
        <v>Jan-2026</v>
      </c>
      <c r="C201" s="10" t="s">
        <v>143</v>
      </c>
      <c r="D201" s="11" t="s">
        <v>13</v>
      </c>
      <c r="E201" s="12" t="s">
        <v>11</v>
      </c>
      <c r="F201" s="21">
        <v>100.0</v>
      </c>
      <c r="G201" s="14"/>
      <c r="H201" s="15">
        <f t="shared" si="2"/>
        <v>-100</v>
      </c>
      <c r="I201" s="16">
        <f t="shared" si="3"/>
        <v>15073.11</v>
      </c>
    </row>
    <row r="202" ht="22.5" customHeight="1">
      <c r="A202" s="8">
        <v>46036.0</v>
      </c>
      <c r="B202" s="9" t="str">
        <f t="shared" si="1"/>
        <v>Jan-2026</v>
      </c>
      <c r="C202" s="10" t="s">
        <v>144</v>
      </c>
      <c r="D202" s="11" t="s">
        <v>15</v>
      </c>
      <c r="E202" s="12" t="s">
        <v>11</v>
      </c>
      <c r="F202" s="21">
        <v>1.0</v>
      </c>
      <c r="G202" s="14"/>
      <c r="H202" s="15">
        <f t="shared" si="2"/>
        <v>-1</v>
      </c>
      <c r="I202" s="16">
        <f t="shared" si="3"/>
        <v>15072.11</v>
      </c>
    </row>
    <row r="203" ht="22.5" customHeight="1">
      <c r="A203" s="8">
        <v>46036.0</v>
      </c>
      <c r="B203" s="9" t="str">
        <f t="shared" si="1"/>
        <v>Jan-2026</v>
      </c>
      <c r="C203" s="10" t="s">
        <v>145</v>
      </c>
      <c r="D203" s="11" t="s">
        <v>15</v>
      </c>
      <c r="E203" s="12" t="s">
        <v>19</v>
      </c>
      <c r="F203" s="13">
        <v>500.0</v>
      </c>
      <c r="G203" s="13"/>
      <c r="H203" s="15">
        <f t="shared" si="2"/>
        <v>-500</v>
      </c>
      <c r="I203" s="16">
        <f t="shared" si="3"/>
        <v>14572.11</v>
      </c>
    </row>
    <row r="204" ht="22.5" customHeight="1">
      <c r="A204" s="8">
        <v>46036.0</v>
      </c>
      <c r="B204" s="9" t="str">
        <f t="shared" si="1"/>
        <v>Jan-2026</v>
      </c>
      <c r="C204" s="10" t="s">
        <v>146</v>
      </c>
      <c r="D204" s="11" t="s">
        <v>15</v>
      </c>
      <c r="E204" s="12" t="s">
        <v>19</v>
      </c>
      <c r="F204" s="13">
        <v>90.0</v>
      </c>
      <c r="G204" s="13"/>
      <c r="H204" s="15">
        <f t="shared" si="2"/>
        <v>-90</v>
      </c>
      <c r="I204" s="16">
        <f t="shared" si="3"/>
        <v>14482.11</v>
      </c>
    </row>
    <row r="205" ht="22.5" customHeight="1">
      <c r="A205" s="8">
        <v>46037.0</v>
      </c>
      <c r="B205" s="9" t="str">
        <f t="shared" si="1"/>
        <v>Jan-2026</v>
      </c>
      <c r="C205" s="10" t="s">
        <v>9</v>
      </c>
      <c r="D205" s="11" t="s">
        <v>10</v>
      </c>
      <c r="E205" s="12" t="s">
        <v>11</v>
      </c>
      <c r="F205" s="21">
        <v>3456.15</v>
      </c>
      <c r="G205" s="14"/>
      <c r="H205" s="15">
        <f t="shared" si="2"/>
        <v>-3456.15</v>
      </c>
      <c r="I205" s="16">
        <f t="shared" si="3"/>
        <v>11025.96</v>
      </c>
    </row>
    <row r="206" ht="22.5" customHeight="1">
      <c r="A206" s="8">
        <v>46037.0</v>
      </c>
      <c r="B206" s="9" t="str">
        <f t="shared" si="1"/>
        <v>Jan-2026</v>
      </c>
      <c r="C206" s="10" t="s">
        <v>147</v>
      </c>
      <c r="D206" s="11" t="s">
        <v>15</v>
      </c>
      <c r="E206" s="12" t="s">
        <v>19</v>
      </c>
      <c r="F206" s="13"/>
      <c r="G206" s="13">
        <v>299.0</v>
      </c>
      <c r="H206" s="15">
        <f t="shared" si="2"/>
        <v>299</v>
      </c>
      <c r="I206" s="16">
        <f t="shared" si="3"/>
        <v>11324.96</v>
      </c>
    </row>
    <row r="207" ht="22.5" customHeight="1">
      <c r="A207" s="8">
        <v>46037.0</v>
      </c>
      <c r="B207" s="9" t="str">
        <f t="shared" si="1"/>
        <v>Jan-2026</v>
      </c>
      <c r="C207" s="10" t="s">
        <v>148</v>
      </c>
      <c r="D207" s="11" t="s">
        <v>15</v>
      </c>
      <c r="E207" s="12" t="s">
        <v>19</v>
      </c>
      <c r="F207" s="13">
        <v>3424.45</v>
      </c>
      <c r="G207" s="13"/>
      <c r="H207" s="15">
        <f t="shared" si="2"/>
        <v>-3424.45</v>
      </c>
      <c r="I207" s="16">
        <f t="shared" si="3"/>
        <v>7900.51</v>
      </c>
    </row>
    <row r="208" ht="22.5" customHeight="1">
      <c r="A208" s="8">
        <v>46037.0</v>
      </c>
      <c r="B208" s="9" t="str">
        <f t="shared" si="1"/>
        <v>Jan-2026</v>
      </c>
      <c r="C208" s="10" t="s">
        <v>9</v>
      </c>
      <c r="D208" s="11" t="s">
        <v>10</v>
      </c>
      <c r="E208" s="12" t="s">
        <v>22</v>
      </c>
      <c r="F208" s="13"/>
      <c r="G208" s="21">
        <v>3454.15</v>
      </c>
      <c r="H208" s="15">
        <f t="shared" si="2"/>
        <v>3454.15</v>
      </c>
      <c r="I208" s="16">
        <f t="shared" si="3"/>
        <v>11354.66</v>
      </c>
    </row>
    <row r="209" ht="22.5" customHeight="1">
      <c r="A209" s="8">
        <v>46038.0</v>
      </c>
      <c r="B209" s="9" t="str">
        <f t="shared" si="1"/>
        <v>Jan-2026</v>
      </c>
      <c r="C209" s="10" t="s">
        <v>149</v>
      </c>
      <c r="D209" s="11" t="s">
        <v>10</v>
      </c>
      <c r="E209" s="12" t="s">
        <v>11</v>
      </c>
      <c r="F209" s="21">
        <v>11256.84</v>
      </c>
      <c r="G209" s="14"/>
      <c r="H209" s="15">
        <f t="shared" si="2"/>
        <v>-11256.84</v>
      </c>
      <c r="I209" s="16">
        <f t="shared" si="3"/>
        <v>97.82</v>
      </c>
    </row>
    <row r="210" ht="22.5" customHeight="1">
      <c r="A210" s="8">
        <v>46038.0</v>
      </c>
      <c r="B210" s="9" t="str">
        <f t="shared" si="1"/>
        <v>Jan-2026</v>
      </c>
      <c r="C210" s="10" t="s">
        <v>150</v>
      </c>
      <c r="D210" s="11" t="s">
        <v>13</v>
      </c>
      <c r="E210" s="12" t="s">
        <v>11</v>
      </c>
      <c r="F210" s="21">
        <v>960.99</v>
      </c>
      <c r="G210" s="14"/>
      <c r="H210" s="15">
        <f t="shared" si="2"/>
        <v>-960.99</v>
      </c>
      <c r="I210" s="16">
        <f t="shared" si="3"/>
        <v>-863.17</v>
      </c>
    </row>
    <row r="211" ht="22.5" customHeight="1">
      <c r="A211" s="8">
        <v>46038.0</v>
      </c>
      <c r="B211" s="9" t="str">
        <f t="shared" si="1"/>
        <v>Jan-2026</v>
      </c>
      <c r="C211" s="10" t="s">
        <v>151</v>
      </c>
      <c r="D211" s="11" t="s">
        <v>15</v>
      </c>
      <c r="E211" s="12" t="s">
        <v>11</v>
      </c>
      <c r="F211" s="21">
        <v>15000.0</v>
      </c>
      <c r="G211" s="14"/>
      <c r="H211" s="15">
        <f t="shared" si="2"/>
        <v>-15000</v>
      </c>
      <c r="I211" s="16">
        <f t="shared" si="3"/>
        <v>-15863.17</v>
      </c>
    </row>
    <row r="212" ht="22.5" customHeight="1">
      <c r="A212" s="8">
        <v>46038.0</v>
      </c>
      <c r="B212" s="9" t="str">
        <f t="shared" si="1"/>
        <v>Jan-2026</v>
      </c>
      <c r="C212" s="10" t="s">
        <v>152</v>
      </c>
      <c r="D212" s="11" t="s">
        <v>15</v>
      </c>
      <c r="E212" s="12" t="s">
        <v>11</v>
      </c>
      <c r="F212" s="14"/>
      <c r="G212" s="21">
        <v>4.0</v>
      </c>
      <c r="H212" s="15">
        <f t="shared" si="2"/>
        <v>4</v>
      </c>
      <c r="I212" s="16">
        <f t="shared" si="3"/>
        <v>-15859.17</v>
      </c>
    </row>
    <row r="213" ht="22.5" customHeight="1">
      <c r="A213" s="8">
        <v>46038.0</v>
      </c>
      <c r="B213" s="9" t="str">
        <f t="shared" si="1"/>
        <v>Jan-2026</v>
      </c>
      <c r="C213" s="10" t="s">
        <v>153</v>
      </c>
      <c r="D213" s="11" t="s">
        <v>15</v>
      </c>
      <c r="E213" s="12" t="s">
        <v>11</v>
      </c>
      <c r="F213" s="14"/>
      <c r="G213" s="21">
        <v>5650.0</v>
      </c>
      <c r="H213" s="15">
        <f t="shared" si="2"/>
        <v>5650</v>
      </c>
      <c r="I213" s="16">
        <f t="shared" si="3"/>
        <v>-10209.17</v>
      </c>
    </row>
    <row r="214" ht="22.5" customHeight="1">
      <c r="A214" s="8">
        <v>46038.0</v>
      </c>
      <c r="B214" s="9" t="str">
        <f t="shared" si="1"/>
        <v>Jan-2026</v>
      </c>
      <c r="C214" s="10" t="s">
        <v>154</v>
      </c>
      <c r="D214" s="11" t="s">
        <v>17</v>
      </c>
      <c r="E214" s="12" t="s">
        <v>11</v>
      </c>
      <c r="F214" s="14"/>
      <c r="G214" s="21">
        <v>25000.0</v>
      </c>
      <c r="H214" s="15">
        <f t="shared" si="2"/>
        <v>25000</v>
      </c>
      <c r="I214" s="16">
        <f t="shared" si="3"/>
        <v>14790.83</v>
      </c>
    </row>
    <row r="215" ht="22.5" customHeight="1">
      <c r="A215" s="8">
        <v>46038.0</v>
      </c>
      <c r="B215" s="9" t="str">
        <f t="shared" si="1"/>
        <v>Jan-2026</v>
      </c>
      <c r="C215" s="10" t="s">
        <v>134</v>
      </c>
      <c r="D215" s="11" t="s">
        <v>17</v>
      </c>
      <c r="E215" s="12" t="s">
        <v>11</v>
      </c>
      <c r="F215" s="14"/>
      <c r="G215" s="21">
        <v>11.0</v>
      </c>
      <c r="H215" s="15">
        <f t="shared" si="2"/>
        <v>11</v>
      </c>
      <c r="I215" s="16">
        <f t="shared" si="3"/>
        <v>14801.83</v>
      </c>
    </row>
    <row r="216" ht="22.5" customHeight="1">
      <c r="A216" s="8">
        <v>46038.0</v>
      </c>
      <c r="B216" s="9" t="str">
        <f t="shared" si="1"/>
        <v>Jan-2026</v>
      </c>
      <c r="C216" s="10" t="s">
        <v>96</v>
      </c>
      <c r="D216" s="11" t="s">
        <v>10</v>
      </c>
      <c r="E216" s="12" t="s">
        <v>19</v>
      </c>
      <c r="F216" s="13"/>
      <c r="G216" s="13">
        <v>11257.17</v>
      </c>
      <c r="H216" s="15">
        <f t="shared" si="2"/>
        <v>11257.17</v>
      </c>
      <c r="I216" s="16">
        <f t="shared" si="3"/>
        <v>26059</v>
      </c>
    </row>
    <row r="217" ht="22.5" customHeight="1">
      <c r="A217" s="8">
        <v>46038.0</v>
      </c>
      <c r="B217" s="9" t="str">
        <f t="shared" si="1"/>
        <v>Jan-2026</v>
      </c>
      <c r="C217" s="10" t="s">
        <v>155</v>
      </c>
      <c r="D217" s="11" t="s">
        <v>15</v>
      </c>
      <c r="E217" s="12" t="s">
        <v>19</v>
      </c>
      <c r="F217" s="13">
        <v>50.0</v>
      </c>
      <c r="G217" s="13"/>
      <c r="H217" s="15">
        <f t="shared" si="2"/>
        <v>-50</v>
      </c>
      <c r="I217" s="16">
        <f t="shared" si="3"/>
        <v>26009</v>
      </c>
    </row>
    <row r="218" ht="22.5" customHeight="1">
      <c r="A218" s="8">
        <v>46039.0</v>
      </c>
      <c r="B218" s="9" t="str">
        <f t="shared" si="1"/>
        <v>Jan-2026</v>
      </c>
      <c r="C218" s="10" t="s">
        <v>9</v>
      </c>
      <c r="D218" s="11" t="s">
        <v>10</v>
      </c>
      <c r="E218" s="12" t="s">
        <v>11</v>
      </c>
      <c r="F218" s="21">
        <v>50.0</v>
      </c>
      <c r="G218" s="14"/>
      <c r="H218" s="15">
        <f t="shared" si="2"/>
        <v>-50</v>
      </c>
      <c r="I218" s="16">
        <f t="shared" si="3"/>
        <v>25959</v>
      </c>
    </row>
    <row r="219" ht="22.5" customHeight="1">
      <c r="A219" s="8">
        <v>46039.0</v>
      </c>
      <c r="B219" s="9" t="str">
        <f t="shared" si="1"/>
        <v>Jan-2026</v>
      </c>
      <c r="C219" s="10" t="s">
        <v>9</v>
      </c>
      <c r="D219" s="11" t="s">
        <v>10</v>
      </c>
      <c r="E219" s="12" t="s">
        <v>19</v>
      </c>
      <c r="F219" s="21"/>
      <c r="G219" s="13">
        <v>50.0</v>
      </c>
      <c r="H219" s="15">
        <f t="shared" si="2"/>
        <v>50</v>
      </c>
      <c r="I219" s="16">
        <f t="shared" si="3"/>
        <v>26009</v>
      </c>
    </row>
    <row r="220" ht="22.5" customHeight="1">
      <c r="A220" s="22">
        <v>46039.0</v>
      </c>
      <c r="B220" s="9" t="str">
        <f t="shared" si="1"/>
        <v>Jan-2026</v>
      </c>
      <c r="C220" s="6" t="s">
        <v>156</v>
      </c>
      <c r="D220" s="11" t="s">
        <v>17</v>
      </c>
      <c r="E220" s="12" t="s">
        <v>11</v>
      </c>
      <c r="F220" s="23"/>
      <c r="G220" s="24">
        <v>1.0</v>
      </c>
      <c r="H220" s="15">
        <f t="shared" si="2"/>
        <v>1</v>
      </c>
      <c r="I220" s="16">
        <f t="shared" si="3"/>
        <v>26010</v>
      </c>
    </row>
    <row r="221" ht="22.5" customHeight="1">
      <c r="A221" s="22">
        <v>46039.0</v>
      </c>
      <c r="B221" s="9" t="str">
        <f t="shared" si="1"/>
        <v>Jan-2026</v>
      </c>
      <c r="C221" s="6" t="s">
        <v>157</v>
      </c>
      <c r="D221" s="11" t="s">
        <v>17</v>
      </c>
      <c r="E221" s="12" t="s">
        <v>11</v>
      </c>
      <c r="F221" s="23"/>
      <c r="G221" s="24">
        <v>1.0</v>
      </c>
      <c r="H221" s="15">
        <f t="shared" si="2"/>
        <v>1</v>
      </c>
      <c r="I221" s="16">
        <f t="shared" si="3"/>
        <v>26011</v>
      </c>
    </row>
    <row r="222" ht="22.5" customHeight="1">
      <c r="A222" s="22">
        <v>46039.0</v>
      </c>
      <c r="B222" s="9" t="str">
        <f t="shared" si="1"/>
        <v>Jan-2026</v>
      </c>
      <c r="C222" s="6" t="s">
        <v>158</v>
      </c>
      <c r="D222" s="11" t="s">
        <v>17</v>
      </c>
      <c r="E222" s="12" t="s">
        <v>11</v>
      </c>
      <c r="F222" s="23"/>
      <c r="G222" s="24">
        <v>15000.0</v>
      </c>
      <c r="H222" s="15">
        <f t="shared" si="2"/>
        <v>15000</v>
      </c>
      <c r="I222" s="16">
        <f t="shared" si="3"/>
        <v>41011</v>
      </c>
    </row>
    <row r="223" ht="22.5" customHeight="1">
      <c r="A223" s="22">
        <v>46039.0</v>
      </c>
      <c r="B223" s="9" t="str">
        <f t="shared" si="1"/>
        <v>Jan-2026</v>
      </c>
      <c r="C223" s="6" t="s">
        <v>159</v>
      </c>
      <c r="D223" s="11" t="s">
        <v>17</v>
      </c>
      <c r="E223" s="12" t="s">
        <v>11</v>
      </c>
      <c r="F223" s="23"/>
      <c r="G223" s="24">
        <v>1.0</v>
      </c>
      <c r="H223" s="15">
        <f t="shared" si="2"/>
        <v>1</v>
      </c>
      <c r="I223" s="16">
        <f t="shared" si="3"/>
        <v>41012</v>
      </c>
    </row>
    <row r="224" ht="22.5" customHeight="1">
      <c r="A224" s="22">
        <v>46039.0</v>
      </c>
      <c r="B224" s="9" t="str">
        <f t="shared" si="1"/>
        <v>Jan-2026</v>
      </c>
      <c r="C224" s="6" t="s">
        <v>160</v>
      </c>
      <c r="D224" s="11" t="s">
        <v>15</v>
      </c>
      <c r="E224" s="12" t="s">
        <v>11</v>
      </c>
      <c r="F224" s="24">
        <v>10000.0</v>
      </c>
      <c r="G224" s="23"/>
      <c r="H224" s="15">
        <f t="shared" si="2"/>
        <v>-10000</v>
      </c>
      <c r="I224" s="16">
        <f t="shared" si="3"/>
        <v>31012</v>
      </c>
    </row>
    <row r="225" ht="22.5" customHeight="1">
      <c r="A225" s="22">
        <v>46040.0</v>
      </c>
      <c r="B225" s="9" t="str">
        <f t="shared" si="1"/>
        <v>Jan-2026</v>
      </c>
      <c r="C225" s="6" t="s">
        <v>161</v>
      </c>
      <c r="D225" s="11" t="s">
        <v>10</v>
      </c>
      <c r="E225" s="12" t="s">
        <v>11</v>
      </c>
      <c r="F225" s="24">
        <v>9.0</v>
      </c>
      <c r="G225" s="23"/>
      <c r="H225" s="15">
        <f t="shared" si="2"/>
        <v>-9</v>
      </c>
      <c r="I225" s="16">
        <f t="shared" si="3"/>
        <v>31003</v>
      </c>
    </row>
    <row r="226" ht="22.5" customHeight="1">
      <c r="A226" s="22">
        <v>46040.0</v>
      </c>
      <c r="B226" s="9" t="str">
        <f t="shared" si="1"/>
        <v>Jan-2026</v>
      </c>
      <c r="C226" s="6" t="s">
        <v>162</v>
      </c>
      <c r="D226" s="11" t="s">
        <v>10</v>
      </c>
      <c r="E226" s="12" t="s">
        <v>11</v>
      </c>
      <c r="F226" s="24">
        <v>199.0</v>
      </c>
      <c r="G226" s="23"/>
      <c r="H226" s="15">
        <f t="shared" si="2"/>
        <v>-199</v>
      </c>
      <c r="I226" s="16">
        <f t="shared" si="3"/>
        <v>30804</v>
      </c>
    </row>
    <row r="227" ht="22.5" customHeight="1">
      <c r="A227" s="22">
        <v>46041.0</v>
      </c>
      <c r="B227" s="9" t="str">
        <f t="shared" si="1"/>
        <v>Jan-2026</v>
      </c>
      <c r="C227" s="6" t="s">
        <v>163</v>
      </c>
      <c r="D227" s="11" t="s">
        <v>13</v>
      </c>
      <c r="E227" s="12" t="s">
        <v>11</v>
      </c>
      <c r="F227" s="24">
        <v>2500.0</v>
      </c>
      <c r="G227" s="23"/>
      <c r="H227" s="15">
        <f t="shared" si="2"/>
        <v>-2500</v>
      </c>
      <c r="I227" s="16">
        <f t="shared" si="3"/>
        <v>28304</v>
      </c>
    </row>
    <row r="228" ht="22.5" customHeight="1">
      <c r="A228" s="22">
        <v>46041.0</v>
      </c>
      <c r="B228" s="9" t="str">
        <f t="shared" si="1"/>
        <v>Jan-2026</v>
      </c>
      <c r="C228" s="6" t="s">
        <v>164</v>
      </c>
      <c r="D228" s="11" t="s">
        <v>15</v>
      </c>
      <c r="E228" s="12" t="s">
        <v>11</v>
      </c>
      <c r="F228" s="24">
        <v>390.0</v>
      </c>
      <c r="G228" s="23"/>
      <c r="H228" s="15">
        <f t="shared" si="2"/>
        <v>-390</v>
      </c>
      <c r="I228" s="16">
        <f t="shared" si="3"/>
        <v>27914</v>
      </c>
    </row>
    <row r="229" ht="22.5" customHeight="1">
      <c r="A229" s="22">
        <v>46042.0</v>
      </c>
      <c r="B229" s="9" t="str">
        <f t="shared" si="1"/>
        <v>Jan-2026</v>
      </c>
      <c r="C229" s="6" t="s">
        <v>165</v>
      </c>
      <c r="D229" s="11" t="s">
        <v>13</v>
      </c>
      <c r="E229" s="12" t="s">
        <v>11</v>
      </c>
      <c r="F229" s="24">
        <v>855.0</v>
      </c>
      <c r="G229" s="23"/>
      <c r="H229" s="15">
        <f t="shared" si="2"/>
        <v>-855</v>
      </c>
      <c r="I229" s="16">
        <f t="shared" si="3"/>
        <v>27059</v>
      </c>
    </row>
    <row r="230" ht="22.5" customHeight="1">
      <c r="A230" s="22">
        <v>46042.0</v>
      </c>
      <c r="B230" s="9" t="str">
        <f t="shared" si="1"/>
        <v>Jan-2026</v>
      </c>
      <c r="C230" s="6" t="s">
        <v>166</v>
      </c>
      <c r="D230" s="11" t="s">
        <v>13</v>
      </c>
      <c r="E230" s="12" t="s">
        <v>11</v>
      </c>
      <c r="F230" s="24">
        <v>1000.0</v>
      </c>
      <c r="G230" s="23"/>
      <c r="H230" s="15">
        <f t="shared" si="2"/>
        <v>-1000</v>
      </c>
      <c r="I230" s="16">
        <f t="shared" si="3"/>
        <v>26059</v>
      </c>
    </row>
    <row r="231" ht="22.5" customHeight="1">
      <c r="A231" s="22">
        <v>46042.0</v>
      </c>
      <c r="B231" s="9" t="str">
        <f t="shared" si="1"/>
        <v>Jan-2026</v>
      </c>
      <c r="C231" s="6" t="s">
        <v>167</v>
      </c>
      <c r="D231" s="11" t="s">
        <v>17</v>
      </c>
      <c r="E231" s="12" t="s">
        <v>11</v>
      </c>
      <c r="F231" s="23"/>
      <c r="G231" s="24">
        <v>1.0</v>
      </c>
      <c r="H231" s="15">
        <f t="shared" si="2"/>
        <v>1</v>
      </c>
      <c r="I231" s="16">
        <f t="shared" si="3"/>
        <v>26060</v>
      </c>
    </row>
    <row r="232" ht="22.5" customHeight="1">
      <c r="A232" s="22">
        <v>46043.0</v>
      </c>
      <c r="B232" s="9" t="str">
        <f t="shared" si="1"/>
        <v>Jan-2026</v>
      </c>
      <c r="C232" s="6" t="s">
        <v>168</v>
      </c>
      <c r="D232" s="11" t="s">
        <v>17</v>
      </c>
      <c r="E232" s="12" t="s">
        <v>11</v>
      </c>
      <c r="F232" s="23"/>
      <c r="G232" s="24">
        <v>4583.7</v>
      </c>
      <c r="H232" s="15">
        <f t="shared" si="2"/>
        <v>4583.7</v>
      </c>
      <c r="I232" s="16">
        <f t="shared" si="3"/>
        <v>30643.7</v>
      </c>
    </row>
    <row r="233" ht="22.5" customHeight="1">
      <c r="A233" s="22">
        <v>46043.0</v>
      </c>
      <c r="B233" s="9" t="str">
        <f t="shared" si="1"/>
        <v>Jan-2026</v>
      </c>
      <c r="C233" s="6" t="s">
        <v>169</v>
      </c>
      <c r="D233" s="11" t="s">
        <v>13</v>
      </c>
      <c r="E233" s="12" t="s">
        <v>11</v>
      </c>
      <c r="F233" s="24">
        <v>1500.0</v>
      </c>
      <c r="G233" s="23"/>
      <c r="H233" s="15">
        <f t="shared" si="2"/>
        <v>-1500</v>
      </c>
      <c r="I233" s="16">
        <f t="shared" si="3"/>
        <v>29143.7</v>
      </c>
    </row>
    <row r="234" ht="22.5" customHeight="1">
      <c r="A234" s="22">
        <v>46043.0</v>
      </c>
      <c r="B234" s="9" t="str">
        <f t="shared" si="1"/>
        <v>Jan-2026</v>
      </c>
      <c r="C234" s="6" t="s">
        <v>170</v>
      </c>
      <c r="D234" s="11" t="s">
        <v>10</v>
      </c>
      <c r="E234" s="12" t="s">
        <v>11</v>
      </c>
      <c r="F234" s="24">
        <v>3533.45</v>
      </c>
      <c r="G234" s="23"/>
      <c r="H234" s="15">
        <f t="shared" si="2"/>
        <v>-3533.45</v>
      </c>
      <c r="I234" s="16">
        <f t="shared" si="3"/>
        <v>25610.25</v>
      </c>
    </row>
    <row r="235" ht="22.5" customHeight="1">
      <c r="A235" s="22">
        <v>46043.0</v>
      </c>
      <c r="B235" s="9" t="str">
        <f t="shared" si="1"/>
        <v>Jan-2026</v>
      </c>
      <c r="C235" s="6" t="s">
        <v>30</v>
      </c>
      <c r="D235" s="11" t="s">
        <v>13</v>
      </c>
      <c r="E235" s="12" t="s">
        <v>11</v>
      </c>
      <c r="F235" s="24">
        <v>165.0</v>
      </c>
      <c r="G235" s="23"/>
      <c r="H235" s="15">
        <f t="shared" si="2"/>
        <v>-165</v>
      </c>
      <c r="I235" s="16">
        <f t="shared" si="3"/>
        <v>25445.25</v>
      </c>
    </row>
    <row r="236" ht="22.5" customHeight="1">
      <c r="A236" s="22">
        <v>46044.0</v>
      </c>
      <c r="B236" s="9" t="str">
        <f t="shared" si="1"/>
        <v>Jan-2026</v>
      </c>
      <c r="C236" s="6" t="s">
        <v>30</v>
      </c>
      <c r="D236" s="11" t="s">
        <v>13</v>
      </c>
      <c r="E236" s="12" t="s">
        <v>11</v>
      </c>
      <c r="F236" s="24">
        <v>94.0</v>
      </c>
      <c r="G236" s="23"/>
      <c r="H236" s="15">
        <f t="shared" si="2"/>
        <v>-94</v>
      </c>
      <c r="I236" s="16">
        <f t="shared" si="3"/>
        <v>25351.25</v>
      </c>
    </row>
    <row r="237" ht="22.5" customHeight="1">
      <c r="A237" s="22">
        <v>46044.0</v>
      </c>
      <c r="B237" s="9" t="str">
        <f t="shared" si="1"/>
        <v>Jan-2026</v>
      </c>
      <c r="C237" s="6" t="s">
        <v>171</v>
      </c>
      <c r="D237" s="11" t="s">
        <v>15</v>
      </c>
      <c r="E237" s="12" t="s">
        <v>11</v>
      </c>
      <c r="F237" s="24">
        <v>1.0</v>
      </c>
      <c r="G237" s="23"/>
      <c r="H237" s="15">
        <f t="shared" si="2"/>
        <v>-1</v>
      </c>
      <c r="I237" s="16">
        <f t="shared" si="3"/>
        <v>25350.25</v>
      </c>
    </row>
    <row r="238" ht="22.5" customHeight="1">
      <c r="A238" s="22">
        <v>46046.0</v>
      </c>
      <c r="B238" s="9" t="str">
        <f t="shared" si="1"/>
        <v>Jan-2026</v>
      </c>
      <c r="C238" s="6" t="s">
        <v>172</v>
      </c>
      <c r="D238" s="11" t="s">
        <v>17</v>
      </c>
      <c r="E238" s="12" t="s">
        <v>11</v>
      </c>
      <c r="F238" s="23"/>
      <c r="G238" s="24">
        <v>2.0</v>
      </c>
      <c r="H238" s="15">
        <f t="shared" si="2"/>
        <v>2</v>
      </c>
      <c r="I238" s="16">
        <f t="shared" si="3"/>
        <v>25352.25</v>
      </c>
    </row>
    <row r="239" ht="22.5" customHeight="1">
      <c r="A239" s="22">
        <v>46049.0</v>
      </c>
      <c r="B239" s="9" t="str">
        <f t="shared" si="1"/>
        <v>Jan-2026</v>
      </c>
      <c r="C239" s="6" t="s">
        <v>173</v>
      </c>
      <c r="D239" s="11" t="s">
        <v>17</v>
      </c>
      <c r="E239" s="12" t="s">
        <v>11</v>
      </c>
      <c r="F239" s="23"/>
      <c r="G239" s="24">
        <v>100.0</v>
      </c>
      <c r="H239" s="15">
        <f t="shared" si="2"/>
        <v>100</v>
      </c>
      <c r="I239" s="16">
        <f t="shared" si="3"/>
        <v>25452.25</v>
      </c>
    </row>
    <row r="240" ht="22.5" customHeight="1">
      <c r="A240" s="22">
        <v>46050.0</v>
      </c>
      <c r="B240" s="9" t="str">
        <f t="shared" si="1"/>
        <v>Jan-2026</v>
      </c>
      <c r="C240" s="6" t="s">
        <v>174</v>
      </c>
      <c r="D240" s="11" t="s">
        <v>17</v>
      </c>
      <c r="E240" s="12" t="s">
        <v>11</v>
      </c>
      <c r="F240" s="23"/>
      <c r="G240" s="24">
        <v>15000.0</v>
      </c>
      <c r="H240" s="15">
        <f t="shared" si="2"/>
        <v>15000</v>
      </c>
      <c r="I240" s="16">
        <f t="shared" si="3"/>
        <v>40452.25</v>
      </c>
    </row>
    <row r="241" ht="22.5" customHeight="1">
      <c r="A241" s="22">
        <v>46050.0</v>
      </c>
      <c r="B241" s="9" t="str">
        <f t="shared" si="1"/>
        <v>Jan-2026</v>
      </c>
      <c r="C241" s="6" t="s">
        <v>175</v>
      </c>
      <c r="D241" s="11" t="s">
        <v>17</v>
      </c>
      <c r="E241" s="12" t="s">
        <v>11</v>
      </c>
      <c r="F241" s="23"/>
      <c r="G241" s="24">
        <v>181.0</v>
      </c>
      <c r="H241" s="15">
        <f t="shared" si="2"/>
        <v>181</v>
      </c>
      <c r="I241" s="16">
        <f t="shared" si="3"/>
        <v>40633.25</v>
      </c>
    </row>
    <row r="242" ht="22.5" customHeight="1">
      <c r="A242" s="22">
        <v>46050.0</v>
      </c>
      <c r="B242" s="9" t="str">
        <f t="shared" si="1"/>
        <v>Jan-2026</v>
      </c>
      <c r="C242" s="6" t="s">
        <v>176</v>
      </c>
      <c r="D242" s="11" t="s">
        <v>15</v>
      </c>
      <c r="E242" s="12" t="s">
        <v>11</v>
      </c>
      <c r="F242" s="24">
        <v>13000.0</v>
      </c>
      <c r="G242" s="23"/>
      <c r="H242" s="15">
        <f t="shared" si="2"/>
        <v>-13000</v>
      </c>
      <c r="I242" s="16">
        <f t="shared" si="3"/>
        <v>27633.25</v>
      </c>
    </row>
    <row r="243" ht="22.5" customHeight="1">
      <c r="A243" s="22">
        <v>46050.0</v>
      </c>
      <c r="B243" s="9" t="str">
        <f t="shared" si="1"/>
        <v>Jan-2026</v>
      </c>
      <c r="C243" s="6" t="s">
        <v>177</v>
      </c>
      <c r="D243" s="11" t="s">
        <v>15</v>
      </c>
      <c r="E243" s="12" t="s">
        <v>11</v>
      </c>
      <c r="F243" s="24">
        <v>499.0</v>
      </c>
      <c r="G243" s="23"/>
      <c r="H243" s="15">
        <f t="shared" si="2"/>
        <v>-499</v>
      </c>
      <c r="I243" s="16">
        <f t="shared" si="3"/>
        <v>27134.25</v>
      </c>
    </row>
    <row r="244" ht="22.5" customHeight="1">
      <c r="A244" s="22">
        <v>46051.0</v>
      </c>
      <c r="B244" s="9" t="str">
        <f t="shared" si="1"/>
        <v>Jan-2026</v>
      </c>
      <c r="C244" s="6" t="s">
        <v>178</v>
      </c>
      <c r="D244" s="11" t="s">
        <v>13</v>
      </c>
      <c r="E244" s="12" t="s">
        <v>11</v>
      </c>
      <c r="F244" s="24">
        <v>1000.0</v>
      </c>
      <c r="G244" s="23"/>
      <c r="H244" s="15">
        <f t="shared" si="2"/>
        <v>-1000</v>
      </c>
      <c r="I244" s="16">
        <f t="shared" si="3"/>
        <v>26134.25</v>
      </c>
    </row>
    <row r="245" ht="22.5" customHeight="1">
      <c r="A245" s="22">
        <v>46051.0</v>
      </c>
      <c r="B245" s="9" t="str">
        <f t="shared" si="1"/>
        <v>Jan-2026</v>
      </c>
      <c r="C245" s="6" t="s">
        <v>179</v>
      </c>
      <c r="D245" s="11" t="s">
        <v>13</v>
      </c>
      <c r="E245" s="12" t="s">
        <v>11</v>
      </c>
      <c r="F245" s="24">
        <v>50.0</v>
      </c>
      <c r="G245" s="23"/>
      <c r="H245" s="15">
        <f t="shared" si="2"/>
        <v>-50</v>
      </c>
      <c r="I245" s="16">
        <f t="shared" si="3"/>
        <v>26084.25</v>
      </c>
    </row>
    <row r="246" ht="22.5" customHeight="1">
      <c r="A246" s="22">
        <v>46052.0</v>
      </c>
      <c r="B246" s="9" t="str">
        <f t="shared" si="1"/>
        <v>Jan-2026</v>
      </c>
      <c r="C246" s="6" t="s">
        <v>180</v>
      </c>
      <c r="D246" s="11" t="s">
        <v>17</v>
      </c>
      <c r="E246" s="12" t="s">
        <v>11</v>
      </c>
      <c r="F246" s="23"/>
      <c r="G246" s="24">
        <v>114.35</v>
      </c>
      <c r="H246" s="15">
        <f t="shared" si="2"/>
        <v>114.35</v>
      </c>
      <c r="I246" s="16">
        <f t="shared" si="3"/>
        <v>26198.6</v>
      </c>
    </row>
    <row r="247" ht="22.5" customHeight="1">
      <c r="A247" s="22">
        <v>46054.0</v>
      </c>
      <c r="B247" s="9" t="str">
        <f t="shared" si="1"/>
        <v>Feb-2026</v>
      </c>
      <c r="C247" s="6" t="s">
        <v>181</v>
      </c>
      <c r="D247" s="11" t="s">
        <v>13</v>
      </c>
      <c r="E247" s="12" t="s">
        <v>11</v>
      </c>
      <c r="F247" s="24">
        <v>1000.0</v>
      </c>
      <c r="G247" s="23"/>
      <c r="H247" s="15">
        <f t="shared" si="2"/>
        <v>-1000</v>
      </c>
      <c r="I247" s="16">
        <f t="shared" si="3"/>
        <v>25198.6</v>
      </c>
    </row>
    <row r="248" ht="22.5" customHeight="1">
      <c r="A248" s="22">
        <v>46054.0</v>
      </c>
      <c r="B248" s="9" t="str">
        <f t="shared" si="1"/>
        <v>Feb-2026</v>
      </c>
      <c r="C248" s="6" t="s">
        <v>182</v>
      </c>
      <c r="D248" s="11" t="s">
        <v>13</v>
      </c>
      <c r="E248" s="12" t="s">
        <v>11</v>
      </c>
      <c r="F248" s="24">
        <v>1000.0</v>
      </c>
      <c r="G248" s="23"/>
      <c r="H248" s="15">
        <f t="shared" si="2"/>
        <v>-1000</v>
      </c>
      <c r="I248" s="16">
        <f t="shared" si="3"/>
        <v>24198.6</v>
      </c>
    </row>
    <row r="249" ht="22.5" customHeight="1">
      <c r="A249" s="22">
        <v>46054.0</v>
      </c>
      <c r="B249" s="9" t="str">
        <f t="shared" si="1"/>
        <v>Feb-2026</v>
      </c>
      <c r="C249" s="6" t="s">
        <v>183</v>
      </c>
      <c r="D249" s="11" t="s">
        <v>13</v>
      </c>
      <c r="E249" s="12" t="s">
        <v>11</v>
      </c>
      <c r="F249" s="24">
        <v>1000.0</v>
      </c>
      <c r="G249" s="23"/>
      <c r="H249" s="15">
        <f t="shared" si="2"/>
        <v>-1000</v>
      </c>
      <c r="I249" s="16">
        <f t="shared" si="3"/>
        <v>23198.6</v>
      </c>
    </row>
    <row r="250" ht="22.5" customHeight="1">
      <c r="A250" s="22">
        <v>46054.0</v>
      </c>
      <c r="B250" s="9" t="str">
        <f t="shared" si="1"/>
        <v>Feb-2026</v>
      </c>
      <c r="C250" s="6" t="s">
        <v>184</v>
      </c>
      <c r="D250" s="11" t="s">
        <v>13</v>
      </c>
      <c r="E250" s="12" t="s">
        <v>11</v>
      </c>
      <c r="F250" s="24">
        <v>50.0</v>
      </c>
      <c r="G250" s="23"/>
      <c r="H250" s="15">
        <f t="shared" si="2"/>
        <v>-50</v>
      </c>
      <c r="I250" s="16">
        <f t="shared" si="3"/>
        <v>23148.6</v>
      </c>
    </row>
    <row r="251" ht="22.5" customHeight="1">
      <c r="A251" s="22">
        <v>46054.0</v>
      </c>
      <c r="B251" s="9" t="str">
        <f t="shared" si="1"/>
        <v>Feb-2026</v>
      </c>
      <c r="C251" s="6" t="s">
        <v>185</v>
      </c>
      <c r="D251" s="11" t="s">
        <v>17</v>
      </c>
      <c r="E251" s="12" t="s">
        <v>11</v>
      </c>
      <c r="F251" s="23"/>
      <c r="G251" s="24">
        <v>14.0</v>
      </c>
      <c r="H251" s="15">
        <f t="shared" si="2"/>
        <v>14</v>
      </c>
      <c r="I251" s="16">
        <f t="shared" si="3"/>
        <v>23162.6</v>
      </c>
    </row>
    <row r="252" ht="22.5" customHeight="1">
      <c r="A252" s="22">
        <v>46059.0</v>
      </c>
      <c r="B252" s="9" t="str">
        <f t="shared" si="1"/>
        <v>Feb-2026</v>
      </c>
      <c r="C252" s="6" t="s">
        <v>186</v>
      </c>
      <c r="D252" s="11" t="s">
        <v>13</v>
      </c>
      <c r="E252" s="12" t="s">
        <v>11</v>
      </c>
      <c r="F252" s="23"/>
      <c r="G252" s="24">
        <v>4.44</v>
      </c>
      <c r="H252" s="15">
        <f t="shared" si="2"/>
        <v>4.44</v>
      </c>
      <c r="I252" s="16">
        <f t="shared" si="3"/>
        <v>23167.04</v>
      </c>
    </row>
    <row r="253" ht="22.5" customHeight="1">
      <c r="A253" s="22">
        <v>46063.0</v>
      </c>
      <c r="B253" s="9" t="str">
        <f t="shared" si="1"/>
        <v>Feb-2026</v>
      </c>
      <c r="C253" s="6" t="s">
        <v>187</v>
      </c>
      <c r="D253" s="11" t="s">
        <v>15</v>
      </c>
      <c r="E253" s="12" t="s">
        <v>11</v>
      </c>
      <c r="F253" s="24">
        <v>270.0</v>
      </c>
      <c r="G253" s="23"/>
      <c r="H253" s="15">
        <f t="shared" si="2"/>
        <v>-270</v>
      </c>
      <c r="I253" s="16">
        <f t="shared" si="3"/>
        <v>22897.04</v>
      </c>
    </row>
    <row r="254" ht="22.5" customHeight="1">
      <c r="A254" s="22">
        <v>46063.0</v>
      </c>
      <c r="B254" s="9" t="str">
        <f t="shared" si="1"/>
        <v>Feb-2026</v>
      </c>
      <c r="C254" s="6" t="s">
        <v>188</v>
      </c>
      <c r="D254" s="11" t="s">
        <v>17</v>
      </c>
      <c r="E254" s="12" t="s">
        <v>11</v>
      </c>
      <c r="F254" s="24">
        <v>146.0</v>
      </c>
      <c r="G254" s="23"/>
      <c r="H254" s="15">
        <f t="shared" si="2"/>
        <v>-146</v>
      </c>
      <c r="I254" s="16">
        <f t="shared" si="3"/>
        <v>22751.04</v>
      </c>
    </row>
    <row r="255" ht="22.5" customHeight="1">
      <c r="A255" s="22">
        <v>46063.0</v>
      </c>
      <c r="B255" s="9" t="str">
        <f t="shared" si="1"/>
        <v>Feb-2026</v>
      </c>
      <c r="C255" s="6" t="s">
        <v>189</v>
      </c>
      <c r="D255" s="11" t="s">
        <v>15</v>
      </c>
      <c r="E255" s="12" t="s">
        <v>11</v>
      </c>
      <c r="F255" s="23"/>
      <c r="G255" s="24">
        <v>11.6</v>
      </c>
      <c r="H255" s="15">
        <f t="shared" si="2"/>
        <v>11.6</v>
      </c>
      <c r="I255" s="16">
        <f t="shared" si="3"/>
        <v>22762.64</v>
      </c>
    </row>
    <row r="256" ht="22.5" customHeight="1">
      <c r="A256" s="22">
        <v>46063.0</v>
      </c>
      <c r="B256" s="9" t="str">
        <f t="shared" si="1"/>
        <v>Feb-2026</v>
      </c>
      <c r="C256" s="6" t="s">
        <v>190</v>
      </c>
      <c r="D256" s="11" t="s">
        <v>15</v>
      </c>
      <c r="E256" s="12" t="s">
        <v>11</v>
      </c>
      <c r="F256" s="24">
        <v>500.0</v>
      </c>
      <c r="G256" s="23"/>
      <c r="H256" s="15">
        <f t="shared" si="2"/>
        <v>-500</v>
      </c>
      <c r="I256" s="16">
        <f t="shared" si="3"/>
        <v>22262.64</v>
      </c>
    </row>
    <row r="257" ht="22.5" customHeight="1">
      <c r="A257" s="22">
        <v>46064.0</v>
      </c>
      <c r="B257" s="9" t="str">
        <f t="shared" si="1"/>
        <v>Feb-2026</v>
      </c>
      <c r="C257" s="6" t="s">
        <v>191</v>
      </c>
      <c r="D257" s="11" t="s">
        <v>15</v>
      </c>
      <c r="E257" s="12" t="s">
        <v>11</v>
      </c>
      <c r="F257" s="24">
        <v>90.0</v>
      </c>
      <c r="G257" s="23"/>
      <c r="H257" s="15">
        <f t="shared" si="2"/>
        <v>-90</v>
      </c>
      <c r="I257" s="16">
        <f t="shared" si="3"/>
        <v>22172.64</v>
      </c>
    </row>
    <row r="258" ht="22.5" customHeight="1">
      <c r="A258" s="22">
        <v>46066.0</v>
      </c>
      <c r="B258" s="9" t="str">
        <f t="shared" si="1"/>
        <v>Feb-2026</v>
      </c>
      <c r="C258" s="6" t="s">
        <v>192</v>
      </c>
      <c r="D258" s="11" t="s">
        <v>10</v>
      </c>
      <c r="E258" s="12" t="s">
        <v>11</v>
      </c>
      <c r="F258" s="24">
        <v>500.0</v>
      </c>
      <c r="G258" s="23"/>
      <c r="H258" s="15">
        <f t="shared" si="2"/>
        <v>-500</v>
      </c>
      <c r="I258" s="16">
        <f t="shared" si="3"/>
        <v>21672.64</v>
      </c>
    </row>
    <row r="259" ht="22.5" customHeight="1">
      <c r="A259" s="22">
        <v>46066.0</v>
      </c>
      <c r="B259" s="9" t="str">
        <f t="shared" si="1"/>
        <v>Feb-2026</v>
      </c>
      <c r="C259" s="6" t="s">
        <v>193</v>
      </c>
      <c r="D259" s="11" t="s">
        <v>10</v>
      </c>
      <c r="E259" s="12" t="s">
        <v>11</v>
      </c>
      <c r="F259" s="24">
        <v>300.0</v>
      </c>
      <c r="G259" s="23"/>
      <c r="H259" s="15">
        <f t="shared" si="2"/>
        <v>-300</v>
      </c>
      <c r="I259" s="16">
        <f t="shared" si="3"/>
        <v>21372.64</v>
      </c>
    </row>
    <row r="260" ht="22.5" customHeight="1">
      <c r="A260" s="22">
        <v>46069.0</v>
      </c>
      <c r="B260" s="9" t="str">
        <f t="shared" si="1"/>
        <v>Feb-2026</v>
      </c>
      <c r="C260" s="6" t="s">
        <v>194</v>
      </c>
      <c r="D260" s="11" t="s">
        <v>17</v>
      </c>
      <c r="E260" s="12" t="s">
        <v>11</v>
      </c>
      <c r="F260" s="23"/>
      <c r="G260" s="24">
        <v>25000.0</v>
      </c>
      <c r="H260" s="15">
        <f t="shared" si="2"/>
        <v>25000</v>
      </c>
      <c r="I260" s="16">
        <f t="shared" si="3"/>
        <v>46372.64</v>
      </c>
    </row>
    <row r="261" ht="22.5" customHeight="1">
      <c r="A261" s="22">
        <v>46069.0</v>
      </c>
      <c r="B261" s="9" t="str">
        <f t="shared" si="1"/>
        <v>Feb-2026</v>
      </c>
      <c r="C261" s="6" t="s">
        <v>195</v>
      </c>
      <c r="D261" s="11" t="s">
        <v>15</v>
      </c>
      <c r="E261" s="12" t="s">
        <v>11</v>
      </c>
      <c r="F261" s="24">
        <v>15000.0</v>
      </c>
      <c r="G261" s="23"/>
      <c r="H261" s="15">
        <f t="shared" si="2"/>
        <v>-15000</v>
      </c>
      <c r="I261" s="16">
        <f t="shared" si="3"/>
        <v>31372.64</v>
      </c>
    </row>
    <row r="262" ht="22.5" customHeight="1">
      <c r="A262" s="22">
        <v>46069.0</v>
      </c>
      <c r="B262" s="9" t="str">
        <f t="shared" si="1"/>
        <v>Feb-2026</v>
      </c>
      <c r="C262" s="6" t="s">
        <v>196</v>
      </c>
      <c r="D262" s="11" t="s">
        <v>10</v>
      </c>
      <c r="E262" s="12" t="s">
        <v>11</v>
      </c>
      <c r="F262" s="24">
        <v>3000.0</v>
      </c>
      <c r="G262" s="23"/>
      <c r="H262" s="15">
        <f t="shared" si="2"/>
        <v>-3000</v>
      </c>
      <c r="I262" s="16">
        <f t="shared" si="3"/>
        <v>28372.64</v>
      </c>
    </row>
    <row r="263" ht="22.5" customHeight="1">
      <c r="A263" s="22">
        <v>46070.0</v>
      </c>
      <c r="B263" s="9" t="str">
        <f t="shared" si="1"/>
        <v>Feb-2026</v>
      </c>
      <c r="C263" s="6" t="s">
        <v>197</v>
      </c>
      <c r="D263" s="11" t="s">
        <v>13</v>
      </c>
      <c r="E263" s="12" t="s">
        <v>11</v>
      </c>
      <c r="F263" s="24">
        <v>1000.0</v>
      </c>
      <c r="G263" s="23"/>
      <c r="H263" s="15">
        <f t="shared" si="2"/>
        <v>-1000</v>
      </c>
      <c r="I263" s="16">
        <f t="shared" si="3"/>
        <v>27372.64</v>
      </c>
    </row>
    <row r="264" ht="22.5" customHeight="1">
      <c r="A264" s="22">
        <v>46070.0</v>
      </c>
      <c r="B264" s="9" t="str">
        <f t="shared" si="1"/>
        <v>Feb-2026</v>
      </c>
      <c r="C264" s="6" t="s">
        <v>198</v>
      </c>
      <c r="D264" s="11" t="s">
        <v>13</v>
      </c>
      <c r="E264" s="12" t="s">
        <v>11</v>
      </c>
      <c r="F264" s="24">
        <v>1000.0</v>
      </c>
      <c r="G264" s="23"/>
      <c r="H264" s="15">
        <f t="shared" si="2"/>
        <v>-1000</v>
      </c>
      <c r="I264" s="16">
        <f t="shared" si="3"/>
        <v>26372.64</v>
      </c>
    </row>
    <row r="265" ht="22.5" customHeight="1">
      <c r="A265" s="22">
        <v>46070.0</v>
      </c>
      <c r="B265" s="9" t="str">
        <f t="shared" si="1"/>
        <v>Feb-2026</v>
      </c>
      <c r="C265" s="6" t="s">
        <v>199</v>
      </c>
      <c r="D265" s="11" t="s">
        <v>17</v>
      </c>
      <c r="E265" s="12" t="s">
        <v>11</v>
      </c>
      <c r="F265" s="23"/>
      <c r="G265" s="24">
        <v>10.19</v>
      </c>
      <c r="H265" s="15">
        <f t="shared" si="2"/>
        <v>10.19</v>
      </c>
      <c r="I265" s="16">
        <f t="shared" si="3"/>
        <v>26382.83</v>
      </c>
    </row>
    <row r="266" ht="22.5" customHeight="1">
      <c r="A266" s="22">
        <v>46072.0</v>
      </c>
      <c r="B266" s="9" t="str">
        <f t="shared" si="1"/>
        <v>Feb-2026</v>
      </c>
      <c r="C266" s="6" t="s">
        <v>200</v>
      </c>
      <c r="D266" s="11" t="s">
        <v>15</v>
      </c>
      <c r="E266" s="12" t="s">
        <v>11</v>
      </c>
      <c r="F266" s="24">
        <v>5000.0</v>
      </c>
      <c r="G266" s="23"/>
      <c r="H266" s="15">
        <f t="shared" si="2"/>
        <v>-5000</v>
      </c>
      <c r="I266" s="16">
        <f t="shared" si="3"/>
        <v>21382.83</v>
      </c>
    </row>
    <row r="267" ht="22.5" customHeight="1">
      <c r="A267" s="22">
        <v>46072.0</v>
      </c>
      <c r="B267" s="9" t="str">
        <f t="shared" si="1"/>
        <v>Feb-2026</v>
      </c>
      <c r="C267" s="6" t="s">
        <v>201</v>
      </c>
      <c r="D267" s="11" t="s">
        <v>17</v>
      </c>
      <c r="E267" s="12" t="s">
        <v>11</v>
      </c>
      <c r="F267" s="23"/>
      <c r="G267" s="24">
        <v>17.0</v>
      </c>
      <c r="H267" s="15">
        <f t="shared" si="2"/>
        <v>17</v>
      </c>
      <c r="I267" s="16">
        <f t="shared" si="3"/>
        <v>21399.83</v>
      </c>
    </row>
    <row r="268" ht="22.5" customHeight="1">
      <c r="A268" s="22">
        <v>46072.0</v>
      </c>
      <c r="B268" s="9" t="str">
        <f t="shared" si="1"/>
        <v>Feb-2026</v>
      </c>
      <c r="C268" s="6" t="s">
        <v>202</v>
      </c>
      <c r="D268" s="11" t="s">
        <v>13</v>
      </c>
      <c r="E268" s="12" t="s">
        <v>11</v>
      </c>
      <c r="F268" s="24">
        <v>1044.12</v>
      </c>
      <c r="G268" s="23"/>
      <c r="H268" s="15">
        <f t="shared" si="2"/>
        <v>-1044.12</v>
      </c>
      <c r="I268" s="16">
        <f t="shared" si="3"/>
        <v>20355.71</v>
      </c>
    </row>
    <row r="269" ht="22.5" customHeight="1">
      <c r="A269" s="22">
        <v>46072.0</v>
      </c>
      <c r="B269" s="9" t="str">
        <f t="shared" si="1"/>
        <v>Feb-2026</v>
      </c>
      <c r="C269" s="6" t="s">
        <v>203</v>
      </c>
      <c r="D269" s="11" t="s">
        <v>17</v>
      </c>
      <c r="E269" s="12" t="s">
        <v>11</v>
      </c>
      <c r="F269" s="23"/>
      <c r="G269" s="24">
        <v>8.0</v>
      </c>
      <c r="H269" s="15">
        <f t="shared" si="2"/>
        <v>8</v>
      </c>
      <c r="I269" s="16">
        <f t="shared" si="3"/>
        <v>20363.71</v>
      </c>
    </row>
    <row r="270" ht="22.5" customHeight="1">
      <c r="A270" s="22">
        <v>46072.0</v>
      </c>
      <c r="B270" s="9" t="str">
        <f t="shared" si="1"/>
        <v>Feb-2026</v>
      </c>
      <c r="C270" s="6" t="s">
        <v>204</v>
      </c>
      <c r="D270" s="11" t="s">
        <v>15</v>
      </c>
      <c r="E270" s="12" t="s">
        <v>11</v>
      </c>
      <c r="F270" s="24">
        <v>1304.71</v>
      </c>
      <c r="G270" s="23"/>
      <c r="H270" s="15">
        <f t="shared" si="2"/>
        <v>-1304.71</v>
      </c>
      <c r="I270" s="16">
        <f t="shared" si="3"/>
        <v>19059</v>
      </c>
    </row>
    <row r="271" ht="22.5" customHeight="1">
      <c r="A271" s="22">
        <v>46072.0</v>
      </c>
      <c r="B271" s="9" t="str">
        <f t="shared" si="1"/>
        <v>Feb-2026</v>
      </c>
      <c r="C271" s="6" t="s">
        <v>205</v>
      </c>
      <c r="D271" s="11" t="s">
        <v>17</v>
      </c>
      <c r="E271" s="12" t="s">
        <v>11</v>
      </c>
      <c r="F271" s="23"/>
      <c r="G271" s="24">
        <v>5.0</v>
      </c>
      <c r="H271" s="15">
        <f t="shared" si="2"/>
        <v>5</v>
      </c>
      <c r="I271" s="16">
        <f t="shared" si="3"/>
        <v>19064</v>
      </c>
    </row>
    <row r="272" ht="22.5" customHeight="1">
      <c r="A272" s="22">
        <v>46072.0</v>
      </c>
      <c r="B272" s="9" t="str">
        <f t="shared" si="1"/>
        <v>Feb-2026</v>
      </c>
      <c r="C272" s="6" t="s">
        <v>206</v>
      </c>
      <c r="D272" s="11" t="s">
        <v>15</v>
      </c>
      <c r="E272" s="12" t="s">
        <v>11</v>
      </c>
      <c r="F272" s="24">
        <v>1000.0</v>
      </c>
      <c r="G272" s="23"/>
      <c r="H272" s="15">
        <f t="shared" si="2"/>
        <v>-1000</v>
      </c>
      <c r="I272" s="16">
        <f t="shared" si="3"/>
        <v>18064</v>
      </c>
    </row>
    <row r="273" ht="22.5" customHeight="1">
      <c r="A273" s="22">
        <v>46072.0</v>
      </c>
      <c r="B273" s="9" t="str">
        <f t="shared" si="1"/>
        <v>Feb-2026</v>
      </c>
      <c r="C273" s="6" t="s">
        <v>207</v>
      </c>
      <c r="D273" s="11" t="s">
        <v>17</v>
      </c>
      <c r="E273" s="12" t="s">
        <v>11</v>
      </c>
      <c r="F273" s="23"/>
      <c r="G273" s="24">
        <v>5.0</v>
      </c>
      <c r="H273" s="15">
        <f t="shared" si="2"/>
        <v>5</v>
      </c>
      <c r="I273" s="16">
        <f t="shared" si="3"/>
        <v>18069</v>
      </c>
    </row>
    <row r="274" ht="22.5" customHeight="1">
      <c r="A274" s="22">
        <v>46072.0</v>
      </c>
      <c r="B274" s="9" t="str">
        <f t="shared" si="1"/>
        <v>Feb-2026</v>
      </c>
      <c r="C274" s="6" t="s">
        <v>208</v>
      </c>
      <c r="D274" s="11" t="s">
        <v>17</v>
      </c>
      <c r="E274" s="12" t="s">
        <v>11</v>
      </c>
      <c r="F274" s="23"/>
      <c r="G274" s="24">
        <v>13000.0</v>
      </c>
      <c r="H274" s="15">
        <f t="shared" si="2"/>
        <v>13000</v>
      </c>
      <c r="I274" s="16">
        <f t="shared" si="3"/>
        <v>31069</v>
      </c>
    </row>
    <row r="275" ht="22.5" customHeight="1">
      <c r="A275" s="22">
        <v>46072.0</v>
      </c>
      <c r="B275" s="9" t="str">
        <f t="shared" si="1"/>
        <v>Feb-2026</v>
      </c>
      <c r="C275" s="6" t="s">
        <v>209</v>
      </c>
      <c r="D275" s="11" t="s">
        <v>17</v>
      </c>
      <c r="E275" s="12" t="s">
        <v>11</v>
      </c>
      <c r="F275" s="23"/>
      <c r="G275" s="24">
        <v>14.0</v>
      </c>
      <c r="H275" s="15">
        <f t="shared" si="2"/>
        <v>14</v>
      </c>
      <c r="I275" s="16">
        <f t="shared" si="3"/>
        <v>31083</v>
      </c>
    </row>
    <row r="276" ht="22.5" customHeight="1">
      <c r="A276" s="22">
        <v>46072.0</v>
      </c>
      <c r="B276" s="9" t="str">
        <f t="shared" si="1"/>
        <v>Feb-2026</v>
      </c>
      <c r="C276" s="6" t="s">
        <v>210</v>
      </c>
      <c r="D276" s="11" t="s">
        <v>15</v>
      </c>
      <c r="E276" s="12" t="s">
        <v>11</v>
      </c>
      <c r="F276" s="24">
        <v>800.0</v>
      </c>
      <c r="G276" s="23"/>
      <c r="H276" s="15">
        <f t="shared" si="2"/>
        <v>-800</v>
      </c>
      <c r="I276" s="16">
        <f t="shared" si="3"/>
        <v>30283</v>
      </c>
    </row>
    <row r="277" ht="22.5" customHeight="1">
      <c r="A277" s="22">
        <v>46072.0</v>
      </c>
      <c r="B277" s="9" t="str">
        <f t="shared" si="1"/>
        <v>Feb-2026</v>
      </c>
      <c r="C277" s="6" t="s">
        <v>211</v>
      </c>
      <c r="D277" s="11" t="s">
        <v>17</v>
      </c>
      <c r="E277" s="12" t="s">
        <v>11</v>
      </c>
      <c r="F277" s="23"/>
      <c r="G277" s="24">
        <v>6.0</v>
      </c>
      <c r="H277" s="15">
        <f t="shared" si="2"/>
        <v>6</v>
      </c>
      <c r="I277" s="16">
        <f t="shared" si="3"/>
        <v>30289</v>
      </c>
    </row>
    <row r="278" ht="22.5" customHeight="1">
      <c r="A278" s="22">
        <v>46072.0</v>
      </c>
      <c r="B278" s="9" t="str">
        <f t="shared" si="1"/>
        <v>Feb-2026</v>
      </c>
      <c r="C278" s="6" t="s">
        <v>212</v>
      </c>
      <c r="D278" s="11" t="s">
        <v>15</v>
      </c>
      <c r="E278" s="12" t="s">
        <v>11</v>
      </c>
      <c r="F278" s="24">
        <v>1000.0</v>
      </c>
      <c r="G278" s="23"/>
      <c r="H278" s="15">
        <f t="shared" si="2"/>
        <v>-1000</v>
      </c>
      <c r="I278" s="16">
        <f t="shared" si="3"/>
        <v>29289</v>
      </c>
    </row>
    <row r="279" ht="22.5" customHeight="1">
      <c r="A279" s="22">
        <v>46072.0</v>
      </c>
      <c r="B279" s="9" t="str">
        <f t="shared" si="1"/>
        <v>Feb-2026</v>
      </c>
      <c r="C279" s="6" t="s">
        <v>213</v>
      </c>
      <c r="D279" s="11" t="s">
        <v>15</v>
      </c>
      <c r="E279" s="12" t="s">
        <v>11</v>
      </c>
      <c r="F279" s="24">
        <v>2000.0</v>
      </c>
      <c r="G279" s="23"/>
      <c r="H279" s="15">
        <f t="shared" si="2"/>
        <v>-2000</v>
      </c>
      <c r="I279" s="16">
        <f t="shared" si="3"/>
        <v>27289</v>
      </c>
    </row>
    <row r="280" ht="22.5" customHeight="1">
      <c r="A280" s="22">
        <v>46072.0</v>
      </c>
      <c r="B280" s="9" t="str">
        <f t="shared" si="1"/>
        <v>Feb-2026</v>
      </c>
      <c r="C280" s="6" t="s">
        <v>214</v>
      </c>
      <c r="D280" s="11" t="s">
        <v>15</v>
      </c>
      <c r="E280" s="12" t="s">
        <v>11</v>
      </c>
      <c r="F280" s="24">
        <v>2000.0</v>
      </c>
      <c r="G280" s="23"/>
      <c r="H280" s="15">
        <f t="shared" si="2"/>
        <v>-2000</v>
      </c>
      <c r="I280" s="16">
        <f t="shared" si="3"/>
        <v>25289</v>
      </c>
    </row>
    <row r="281" ht="22.5" customHeight="1">
      <c r="A281" s="22">
        <v>46072.0</v>
      </c>
      <c r="B281" s="9" t="str">
        <f t="shared" si="1"/>
        <v>Feb-2026</v>
      </c>
      <c r="C281" s="6" t="s">
        <v>215</v>
      </c>
      <c r="D281" s="11" t="s">
        <v>17</v>
      </c>
      <c r="E281" s="12" t="s">
        <v>11</v>
      </c>
      <c r="F281" s="23"/>
      <c r="G281" s="24">
        <v>9.0</v>
      </c>
      <c r="H281" s="15">
        <f t="shared" si="2"/>
        <v>9</v>
      </c>
      <c r="I281" s="16">
        <f t="shared" si="3"/>
        <v>25298</v>
      </c>
    </row>
    <row r="282" ht="22.5" customHeight="1">
      <c r="A282" s="22">
        <v>46072.0</v>
      </c>
      <c r="B282" s="9" t="str">
        <f t="shared" si="1"/>
        <v>Feb-2026</v>
      </c>
      <c r="C282" s="6" t="s">
        <v>216</v>
      </c>
      <c r="D282" s="11" t="s">
        <v>15</v>
      </c>
      <c r="E282" s="12" t="s">
        <v>11</v>
      </c>
      <c r="F282" s="24">
        <v>458.21</v>
      </c>
      <c r="G282" s="23"/>
      <c r="H282" s="15">
        <f t="shared" si="2"/>
        <v>-458.21</v>
      </c>
      <c r="I282" s="16">
        <f t="shared" si="3"/>
        <v>24839.79</v>
      </c>
    </row>
    <row r="283" ht="22.5" customHeight="1">
      <c r="A283" s="22">
        <v>46072.0</v>
      </c>
      <c r="B283" s="9" t="str">
        <f t="shared" si="1"/>
        <v>Feb-2026</v>
      </c>
      <c r="C283" s="6" t="s">
        <v>217</v>
      </c>
      <c r="D283" s="11" t="s">
        <v>17</v>
      </c>
      <c r="E283" s="12" t="s">
        <v>11</v>
      </c>
      <c r="F283" s="23"/>
      <c r="G283" s="24">
        <v>1.0</v>
      </c>
      <c r="H283" s="15">
        <f t="shared" si="2"/>
        <v>1</v>
      </c>
      <c r="I283" s="16">
        <f t="shared" si="3"/>
        <v>24840.79</v>
      </c>
    </row>
    <row r="284" ht="22.5" customHeight="1">
      <c r="A284" s="22">
        <v>46072.0</v>
      </c>
      <c r="B284" s="9" t="str">
        <f t="shared" si="1"/>
        <v>Feb-2026</v>
      </c>
      <c r="C284" s="6" t="s">
        <v>218</v>
      </c>
      <c r="D284" s="11" t="s">
        <v>15</v>
      </c>
      <c r="E284" s="12" t="s">
        <v>11</v>
      </c>
      <c r="F284" s="24">
        <v>650.0</v>
      </c>
      <c r="G284" s="23"/>
      <c r="H284" s="15">
        <f t="shared" si="2"/>
        <v>-650</v>
      </c>
      <c r="I284" s="16">
        <f t="shared" si="3"/>
        <v>24190.79</v>
      </c>
    </row>
    <row r="285" ht="22.5" customHeight="1">
      <c r="A285" s="22">
        <v>46073.0</v>
      </c>
      <c r="B285" s="9" t="str">
        <f t="shared" si="1"/>
        <v>Feb-2026</v>
      </c>
      <c r="C285" s="6" t="s">
        <v>219</v>
      </c>
      <c r="D285" s="11" t="s">
        <v>15</v>
      </c>
      <c r="E285" s="12" t="s">
        <v>11</v>
      </c>
      <c r="F285" s="24">
        <v>11.0</v>
      </c>
      <c r="G285" s="23"/>
      <c r="H285" s="15">
        <f t="shared" si="2"/>
        <v>-11</v>
      </c>
      <c r="I285" s="16">
        <f t="shared" si="3"/>
        <v>24179.79</v>
      </c>
    </row>
    <row r="286" ht="22.5" customHeight="1">
      <c r="A286" s="22">
        <v>46074.0</v>
      </c>
      <c r="B286" s="9" t="str">
        <f t="shared" si="1"/>
        <v>Feb-2026</v>
      </c>
      <c r="C286" s="6" t="s">
        <v>220</v>
      </c>
      <c r="D286" s="11" t="s">
        <v>15</v>
      </c>
      <c r="E286" s="12" t="s">
        <v>11</v>
      </c>
      <c r="F286" s="24">
        <v>1000.0</v>
      </c>
      <c r="G286" s="23"/>
      <c r="H286" s="15">
        <f t="shared" si="2"/>
        <v>-1000</v>
      </c>
      <c r="I286" s="16">
        <f t="shared" si="3"/>
        <v>23179.79</v>
      </c>
    </row>
    <row r="287" ht="22.5" customHeight="1">
      <c r="A287" s="22">
        <v>46074.0</v>
      </c>
      <c r="B287" s="9" t="str">
        <f t="shared" si="1"/>
        <v>Feb-2026</v>
      </c>
      <c r="C287" s="6" t="s">
        <v>221</v>
      </c>
      <c r="D287" s="11" t="s">
        <v>17</v>
      </c>
      <c r="E287" s="12" t="s">
        <v>11</v>
      </c>
      <c r="F287" s="23"/>
      <c r="G287" s="24">
        <v>1.0</v>
      </c>
      <c r="H287" s="15">
        <f t="shared" si="2"/>
        <v>1</v>
      </c>
      <c r="I287" s="16">
        <f t="shared" si="3"/>
        <v>23180.79</v>
      </c>
    </row>
    <row r="288" ht="22.5" customHeight="1">
      <c r="A288" s="22">
        <v>46076.0</v>
      </c>
      <c r="B288" s="9" t="str">
        <f t="shared" si="1"/>
        <v>Feb-2026</v>
      </c>
      <c r="C288" s="6" t="s">
        <v>222</v>
      </c>
      <c r="D288" s="11" t="s">
        <v>17</v>
      </c>
      <c r="E288" s="12" t="s">
        <v>11</v>
      </c>
      <c r="F288" s="23"/>
      <c r="G288" s="24">
        <v>1.01</v>
      </c>
      <c r="H288" s="15">
        <f t="shared" si="2"/>
        <v>1.01</v>
      </c>
      <c r="I288" s="16">
        <f t="shared" si="3"/>
        <v>23181.8</v>
      </c>
    </row>
    <row r="289" ht="22.5" customHeight="1">
      <c r="A289" s="22">
        <v>46076.0</v>
      </c>
      <c r="B289" s="9" t="str">
        <f t="shared" si="1"/>
        <v>Feb-2026</v>
      </c>
      <c r="C289" s="6" t="s">
        <v>223</v>
      </c>
      <c r="D289" s="11" t="s">
        <v>17</v>
      </c>
      <c r="E289" s="12" t="s">
        <v>11</v>
      </c>
      <c r="F289" s="23"/>
      <c r="G289" s="24">
        <v>1.09</v>
      </c>
      <c r="H289" s="15">
        <f t="shared" si="2"/>
        <v>1.09</v>
      </c>
      <c r="I289" s="16">
        <f t="shared" si="3"/>
        <v>23182.89</v>
      </c>
    </row>
    <row r="290" ht="22.5" customHeight="1">
      <c r="A290" s="22">
        <v>46076.0</v>
      </c>
      <c r="B290" s="9" t="str">
        <f t="shared" si="1"/>
        <v>Feb-2026</v>
      </c>
      <c r="C290" s="6" t="s">
        <v>224</v>
      </c>
      <c r="D290" s="11" t="s">
        <v>15</v>
      </c>
      <c r="E290" s="12" t="s">
        <v>11</v>
      </c>
      <c r="F290" s="24">
        <v>5123.0</v>
      </c>
      <c r="G290" s="23"/>
      <c r="H290" s="15">
        <f t="shared" si="2"/>
        <v>-5123</v>
      </c>
      <c r="I290" s="16">
        <f t="shared" si="3"/>
        <v>18059.89</v>
      </c>
    </row>
    <row r="291" ht="22.5" customHeight="1">
      <c r="A291" s="22">
        <v>46076.0</v>
      </c>
      <c r="B291" s="9" t="str">
        <f t="shared" si="1"/>
        <v>Feb-2026</v>
      </c>
      <c r="C291" s="6" t="s">
        <v>225</v>
      </c>
      <c r="D291" s="11" t="s">
        <v>17</v>
      </c>
      <c r="E291" s="12" t="s">
        <v>11</v>
      </c>
      <c r="F291" s="23"/>
      <c r="G291" s="24">
        <v>510.0</v>
      </c>
      <c r="H291" s="15">
        <f t="shared" si="2"/>
        <v>510</v>
      </c>
      <c r="I291" s="16">
        <f t="shared" si="3"/>
        <v>18569.89</v>
      </c>
    </row>
    <row r="292" ht="22.5" customHeight="1">
      <c r="A292" s="22">
        <v>46076.0</v>
      </c>
      <c r="B292" s="9" t="str">
        <f t="shared" si="1"/>
        <v>Feb-2026</v>
      </c>
      <c r="C292" s="6" t="s">
        <v>226</v>
      </c>
      <c r="D292" s="11" t="s">
        <v>15</v>
      </c>
      <c r="E292" s="12" t="s">
        <v>11</v>
      </c>
      <c r="F292" s="24">
        <v>703.0</v>
      </c>
      <c r="G292" s="23"/>
      <c r="H292" s="15">
        <f t="shared" si="2"/>
        <v>-703</v>
      </c>
      <c r="I292" s="16">
        <f t="shared" si="3"/>
        <v>17866.89</v>
      </c>
    </row>
    <row r="293" ht="22.5" customHeight="1">
      <c r="A293" s="22">
        <v>46076.0</v>
      </c>
      <c r="B293" s="9" t="str">
        <f t="shared" si="1"/>
        <v>Feb-2026</v>
      </c>
      <c r="C293" s="6" t="s">
        <v>227</v>
      </c>
      <c r="D293" s="11" t="s">
        <v>17</v>
      </c>
      <c r="E293" s="12" t="s">
        <v>11</v>
      </c>
      <c r="F293" s="23"/>
      <c r="G293" s="24">
        <v>2.0</v>
      </c>
      <c r="H293" s="15">
        <f t="shared" si="2"/>
        <v>2</v>
      </c>
      <c r="I293" s="16">
        <f t="shared" si="3"/>
        <v>17868.89</v>
      </c>
    </row>
    <row r="294" ht="22.5" customHeight="1">
      <c r="A294" s="22">
        <v>46077.0</v>
      </c>
      <c r="B294" s="9" t="str">
        <f t="shared" si="1"/>
        <v>Feb-2026</v>
      </c>
      <c r="C294" s="6" t="s">
        <v>228</v>
      </c>
      <c r="D294" s="11" t="s">
        <v>15</v>
      </c>
      <c r="E294" s="12" t="s">
        <v>11</v>
      </c>
      <c r="F294" s="24">
        <v>500.0</v>
      </c>
      <c r="G294" s="23"/>
      <c r="H294" s="15">
        <f t="shared" si="2"/>
        <v>-500</v>
      </c>
      <c r="I294" s="16">
        <f t="shared" si="3"/>
        <v>17368.89</v>
      </c>
    </row>
    <row r="295" ht="22.5" customHeight="1">
      <c r="A295" s="22">
        <v>46077.0</v>
      </c>
      <c r="B295" s="9" t="str">
        <f t="shared" si="1"/>
        <v>Feb-2026</v>
      </c>
      <c r="C295" s="6" t="s">
        <v>229</v>
      </c>
      <c r="D295" s="11" t="s">
        <v>17</v>
      </c>
      <c r="E295" s="12" t="s">
        <v>11</v>
      </c>
      <c r="F295" s="23"/>
      <c r="G295" s="24">
        <v>69.0</v>
      </c>
      <c r="H295" s="15">
        <f t="shared" si="2"/>
        <v>69</v>
      </c>
      <c r="I295" s="16">
        <f t="shared" si="3"/>
        <v>17437.89</v>
      </c>
    </row>
    <row r="296" ht="22.5" customHeight="1">
      <c r="A296" s="22">
        <v>46077.0</v>
      </c>
      <c r="B296" s="9" t="str">
        <f t="shared" si="1"/>
        <v>Feb-2026</v>
      </c>
      <c r="C296" s="6" t="s">
        <v>230</v>
      </c>
      <c r="D296" s="11" t="s">
        <v>25</v>
      </c>
      <c r="E296" s="12" t="s">
        <v>26</v>
      </c>
      <c r="F296" s="21"/>
      <c r="G296" s="24">
        <v>500.0</v>
      </c>
      <c r="H296" s="15">
        <f t="shared" si="2"/>
        <v>500</v>
      </c>
      <c r="I296" s="16">
        <f t="shared" si="3"/>
        <v>17937.89</v>
      </c>
    </row>
    <row r="297" ht="22.5" customHeight="1">
      <c r="A297" s="22">
        <v>46079.0</v>
      </c>
      <c r="B297" s="9" t="str">
        <f t="shared" si="1"/>
        <v>Feb-2026</v>
      </c>
      <c r="C297" s="6" t="s">
        <v>231</v>
      </c>
      <c r="D297" s="11" t="s">
        <v>17</v>
      </c>
      <c r="E297" s="12" t="s">
        <v>11</v>
      </c>
      <c r="F297" s="23"/>
      <c r="G297" s="24">
        <v>3.0</v>
      </c>
      <c r="H297" s="15">
        <f t="shared" si="2"/>
        <v>3</v>
      </c>
      <c r="I297" s="16">
        <f t="shared" si="3"/>
        <v>17940.89</v>
      </c>
    </row>
    <row r="298" ht="22.5" customHeight="1">
      <c r="A298" s="22">
        <v>46079.0</v>
      </c>
      <c r="B298" s="9" t="str">
        <f t="shared" si="1"/>
        <v>Feb-2026</v>
      </c>
      <c r="C298" s="6" t="s">
        <v>232</v>
      </c>
      <c r="D298" s="11" t="s">
        <v>17</v>
      </c>
      <c r="E298" s="12" t="s">
        <v>11</v>
      </c>
      <c r="F298" s="23"/>
      <c r="G298" s="24">
        <v>5000.0</v>
      </c>
      <c r="H298" s="15">
        <f t="shared" si="2"/>
        <v>5000</v>
      </c>
      <c r="I298" s="16">
        <f t="shared" si="3"/>
        <v>22940.89</v>
      </c>
    </row>
    <row r="299" ht="22.5" customHeight="1">
      <c r="A299" s="22">
        <v>46080.0</v>
      </c>
      <c r="B299" s="9" t="str">
        <f t="shared" si="1"/>
        <v>Feb-2026</v>
      </c>
      <c r="C299" s="6" t="s">
        <v>233</v>
      </c>
      <c r="D299" s="11" t="s">
        <v>15</v>
      </c>
      <c r="E299" s="12" t="s">
        <v>11</v>
      </c>
      <c r="F299" s="24">
        <v>5000.0</v>
      </c>
      <c r="G299" s="23"/>
      <c r="H299" s="15">
        <f t="shared" si="2"/>
        <v>-5000</v>
      </c>
      <c r="I299" s="16">
        <f t="shared" si="3"/>
        <v>17940.89</v>
      </c>
    </row>
    <row r="300" ht="22.5" customHeight="1">
      <c r="A300" s="22">
        <v>46081.0</v>
      </c>
      <c r="B300" s="9" t="str">
        <f t="shared" si="1"/>
        <v>Feb-2026</v>
      </c>
      <c r="C300" s="6" t="s">
        <v>234</v>
      </c>
      <c r="D300" s="11" t="s">
        <v>15</v>
      </c>
      <c r="E300" s="12" t="s">
        <v>11</v>
      </c>
      <c r="F300" s="24">
        <v>710.0</v>
      </c>
      <c r="G300" s="23"/>
      <c r="H300" s="15">
        <f t="shared" si="2"/>
        <v>-710</v>
      </c>
      <c r="I300" s="16">
        <f t="shared" si="3"/>
        <v>17230.89</v>
      </c>
    </row>
    <row r="301" ht="22.5" customHeight="1">
      <c r="A301" s="22">
        <v>46083.0</v>
      </c>
      <c r="B301" s="9" t="str">
        <f t="shared" si="1"/>
        <v>Mar-2026</v>
      </c>
      <c r="C301" s="6" t="s">
        <v>235</v>
      </c>
      <c r="D301" s="11" t="s">
        <v>17</v>
      </c>
      <c r="E301" s="12" t="s">
        <v>11</v>
      </c>
      <c r="F301" s="23"/>
      <c r="G301" s="24">
        <v>3.0</v>
      </c>
      <c r="H301" s="15">
        <f t="shared" si="2"/>
        <v>3</v>
      </c>
      <c r="I301" s="16">
        <f t="shared" si="3"/>
        <v>17233.89</v>
      </c>
    </row>
    <row r="302" ht="22.5" customHeight="1">
      <c r="A302" s="22">
        <v>46083.0</v>
      </c>
      <c r="B302" s="9" t="str">
        <f t="shared" si="1"/>
        <v>Mar-2026</v>
      </c>
      <c r="C302" s="6" t="s">
        <v>236</v>
      </c>
      <c r="D302" s="11" t="s">
        <v>17</v>
      </c>
      <c r="E302" s="12" t="s">
        <v>11</v>
      </c>
      <c r="F302" s="23"/>
      <c r="G302" s="24">
        <v>5123.0</v>
      </c>
      <c r="H302" s="15">
        <f t="shared" si="2"/>
        <v>5123</v>
      </c>
      <c r="I302" s="16">
        <f t="shared" si="3"/>
        <v>22356.89</v>
      </c>
    </row>
    <row r="303" ht="22.5" customHeight="1">
      <c r="A303" s="22">
        <v>46083.0</v>
      </c>
      <c r="B303" s="9" t="str">
        <f t="shared" si="1"/>
        <v>Mar-2026</v>
      </c>
      <c r="C303" s="6" t="s">
        <v>237</v>
      </c>
      <c r="D303" s="11" t="s">
        <v>15</v>
      </c>
      <c r="E303" s="12" t="s">
        <v>11</v>
      </c>
      <c r="F303" s="24">
        <v>316.87</v>
      </c>
      <c r="G303" s="23"/>
      <c r="H303" s="15">
        <f t="shared" si="2"/>
        <v>-316.87</v>
      </c>
      <c r="I303" s="16">
        <f t="shared" si="3"/>
        <v>22040.02</v>
      </c>
    </row>
    <row r="304" ht="22.5" customHeight="1">
      <c r="A304" s="22">
        <v>46083.0</v>
      </c>
      <c r="B304" s="9" t="str">
        <f t="shared" si="1"/>
        <v>Mar-2026</v>
      </c>
      <c r="C304" s="6" t="s">
        <v>238</v>
      </c>
      <c r="D304" s="11" t="s">
        <v>15</v>
      </c>
      <c r="E304" s="12" t="s">
        <v>11</v>
      </c>
      <c r="F304" s="24">
        <v>5.9</v>
      </c>
      <c r="G304" s="23"/>
      <c r="H304" s="15">
        <f t="shared" si="2"/>
        <v>-5.9</v>
      </c>
      <c r="I304" s="16">
        <f t="shared" si="3"/>
        <v>22034.12</v>
      </c>
    </row>
    <row r="305" ht="22.5" customHeight="1">
      <c r="A305" s="22">
        <v>46085.0</v>
      </c>
      <c r="B305" s="9" t="str">
        <f t="shared" si="1"/>
        <v>Mar-2026</v>
      </c>
      <c r="C305" s="6" t="s">
        <v>239</v>
      </c>
      <c r="D305" s="11" t="s">
        <v>13</v>
      </c>
      <c r="E305" s="12" t="s">
        <v>11</v>
      </c>
      <c r="F305" s="24">
        <v>1500.0</v>
      </c>
      <c r="G305" s="23"/>
      <c r="H305" s="15">
        <f t="shared" si="2"/>
        <v>-1500</v>
      </c>
      <c r="I305" s="16">
        <f t="shared" si="3"/>
        <v>20534.12</v>
      </c>
    </row>
    <row r="306" ht="22.5" customHeight="1">
      <c r="A306" s="22">
        <v>46085.0</v>
      </c>
      <c r="B306" s="9" t="str">
        <f t="shared" si="1"/>
        <v>Mar-2026</v>
      </c>
      <c r="C306" s="6" t="s">
        <v>240</v>
      </c>
      <c r="D306" s="11" t="s">
        <v>13</v>
      </c>
      <c r="E306" s="12" t="s">
        <v>11</v>
      </c>
      <c r="F306" s="24">
        <v>500.0</v>
      </c>
      <c r="G306" s="23"/>
      <c r="H306" s="15">
        <f t="shared" si="2"/>
        <v>-500</v>
      </c>
      <c r="I306" s="16">
        <f t="shared" si="3"/>
        <v>20034.12</v>
      </c>
    </row>
    <row r="307" ht="22.5" customHeight="1">
      <c r="A307" s="22">
        <v>46085.0</v>
      </c>
      <c r="B307" s="9" t="str">
        <f t="shared" si="1"/>
        <v>Mar-2026</v>
      </c>
      <c r="C307" s="6" t="s">
        <v>241</v>
      </c>
      <c r="D307" s="11" t="s">
        <v>13</v>
      </c>
      <c r="E307" s="12" t="s">
        <v>11</v>
      </c>
      <c r="F307" s="24">
        <v>100.0</v>
      </c>
      <c r="G307" s="23"/>
      <c r="H307" s="15">
        <f t="shared" si="2"/>
        <v>-100</v>
      </c>
      <c r="I307" s="16">
        <f t="shared" si="3"/>
        <v>19934.12</v>
      </c>
    </row>
    <row r="308" ht="22.5" customHeight="1">
      <c r="A308" s="22">
        <v>46085.0</v>
      </c>
      <c r="B308" s="9" t="str">
        <f t="shared" si="1"/>
        <v>Mar-2026</v>
      </c>
      <c r="C308" s="6" t="s">
        <v>242</v>
      </c>
      <c r="D308" s="11" t="s">
        <v>13</v>
      </c>
      <c r="E308" s="12" t="s">
        <v>11</v>
      </c>
      <c r="F308" s="24">
        <v>198.55</v>
      </c>
      <c r="G308" s="23"/>
      <c r="H308" s="15">
        <f t="shared" si="2"/>
        <v>-198.55</v>
      </c>
      <c r="I308" s="16">
        <f t="shared" si="3"/>
        <v>19735.57</v>
      </c>
    </row>
    <row r="309" ht="22.5" customHeight="1">
      <c r="A309" s="22">
        <v>46085.0</v>
      </c>
      <c r="B309" s="9" t="str">
        <f t="shared" si="1"/>
        <v>Mar-2026</v>
      </c>
      <c r="C309" s="6" t="s">
        <v>243</v>
      </c>
      <c r="D309" s="11" t="s">
        <v>13</v>
      </c>
      <c r="E309" s="12" t="s">
        <v>11</v>
      </c>
      <c r="F309" s="24">
        <v>198.98</v>
      </c>
      <c r="G309" s="23"/>
      <c r="H309" s="15">
        <f t="shared" si="2"/>
        <v>-198.98</v>
      </c>
      <c r="I309" s="16">
        <f t="shared" si="3"/>
        <v>19536.59</v>
      </c>
    </row>
    <row r="310" ht="22.5" customHeight="1">
      <c r="A310" s="22">
        <v>46087.0</v>
      </c>
      <c r="B310" s="9" t="str">
        <f t="shared" si="1"/>
        <v>Mar-2026</v>
      </c>
      <c r="C310" s="6" t="s">
        <v>244</v>
      </c>
      <c r="D310" s="11" t="s">
        <v>17</v>
      </c>
      <c r="E310" s="12" t="s">
        <v>11</v>
      </c>
      <c r="F310" s="23"/>
      <c r="G310" s="24">
        <v>3.0</v>
      </c>
      <c r="H310" s="15">
        <f t="shared" si="2"/>
        <v>3</v>
      </c>
      <c r="I310" s="16">
        <f t="shared" si="3"/>
        <v>19539.59</v>
      </c>
    </row>
    <row r="311" ht="22.5" customHeight="1">
      <c r="A311" s="22">
        <v>46087.0</v>
      </c>
      <c r="B311" s="9" t="str">
        <f t="shared" si="1"/>
        <v>Mar-2026</v>
      </c>
      <c r="C311" s="6" t="s">
        <v>245</v>
      </c>
      <c r="D311" s="11" t="s">
        <v>17</v>
      </c>
      <c r="E311" s="12" t="s">
        <v>11</v>
      </c>
      <c r="F311" s="23"/>
      <c r="G311" s="24">
        <v>5000.0</v>
      </c>
      <c r="H311" s="15">
        <f t="shared" si="2"/>
        <v>5000</v>
      </c>
      <c r="I311" s="16">
        <f t="shared" si="3"/>
        <v>24539.59</v>
      </c>
    </row>
    <row r="312" ht="22.5" customHeight="1">
      <c r="A312" s="22">
        <v>46087.0</v>
      </c>
      <c r="B312" s="9" t="str">
        <f t="shared" si="1"/>
        <v>Mar-2026</v>
      </c>
      <c r="C312" s="6" t="s">
        <v>246</v>
      </c>
      <c r="D312" s="11" t="s">
        <v>15</v>
      </c>
      <c r="E312" s="12" t="s">
        <v>11</v>
      </c>
      <c r="F312" s="24">
        <v>1190.0</v>
      </c>
      <c r="G312" s="23"/>
      <c r="H312" s="15">
        <f t="shared" si="2"/>
        <v>-1190</v>
      </c>
      <c r="I312" s="16">
        <f t="shared" si="3"/>
        <v>23349.59</v>
      </c>
    </row>
    <row r="313" ht="22.5" customHeight="1">
      <c r="A313" s="8"/>
      <c r="B313" s="9" t="str">
        <f t="shared" si="1"/>
        <v>Dec-1899</v>
      </c>
      <c r="C313" s="10"/>
      <c r="D313" s="11"/>
      <c r="E313" s="25"/>
      <c r="F313" s="21"/>
      <c r="G313" s="14"/>
      <c r="H313" s="15">
        <f t="shared" si="2"/>
        <v>0</v>
      </c>
      <c r="I313" s="16">
        <f t="shared" si="3"/>
        <v>23349.59</v>
      </c>
    </row>
    <row r="314" ht="22.5" customHeight="1">
      <c r="A314" s="8"/>
      <c r="B314" s="9" t="str">
        <f t="shared" si="1"/>
        <v>Dec-1899</v>
      </c>
      <c r="C314" s="10"/>
      <c r="D314" s="11"/>
      <c r="E314" s="25"/>
      <c r="F314" s="21"/>
      <c r="G314" s="14"/>
      <c r="H314" s="15">
        <f t="shared" si="2"/>
        <v>0</v>
      </c>
      <c r="I314" s="16">
        <f t="shared" si="3"/>
        <v>23349.59</v>
      </c>
    </row>
    <row r="315" ht="22.5" customHeight="1">
      <c r="A315" s="8"/>
      <c r="B315" s="9" t="str">
        <f t="shared" si="1"/>
        <v>Dec-1899</v>
      </c>
      <c r="C315" s="10"/>
      <c r="D315" s="11"/>
      <c r="E315" s="25"/>
      <c r="F315" s="21"/>
      <c r="G315" s="14"/>
      <c r="H315" s="15">
        <f t="shared" si="2"/>
        <v>0</v>
      </c>
      <c r="I315" s="16">
        <f t="shared" si="3"/>
        <v>23349.59</v>
      </c>
    </row>
    <row r="316" ht="22.5" customHeight="1">
      <c r="A316" s="8"/>
      <c r="B316" s="9" t="str">
        <f t="shared" si="1"/>
        <v>Dec-1899</v>
      </c>
      <c r="C316" s="10"/>
      <c r="D316" s="11"/>
      <c r="E316" s="25"/>
      <c r="F316" s="21"/>
      <c r="G316" s="14"/>
      <c r="H316" s="15">
        <f t="shared" si="2"/>
        <v>0</v>
      </c>
      <c r="I316" s="16">
        <f t="shared" si="3"/>
        <v>23349.59</v>
      </c>
    </row>
    <row r="317" ht="22.5" customHeight="1">
      <c r="A317" s="8"/>
      <c r="B317" s="9" t="str">
        <f t="shared" si="1"/>
        <v>Dec-1899</v>
      </c>
      <c r="C317" s="10"/>
      <c r="D317" s="11"/>
      <c r="E317" s="25"/>
      <c r="F317" s="21"/>
      <c r="G317" s="14"/>
      <c r="H317" s="15">
        <f t="shared" si="2"/>
        <v>0</v>
      </c>
      <c r="I317" s="16">
        <f t="shared" si="3"/>
        <v>23349.59</v>
      </c>
    </row>
    <row r="318" ht="22.5" customHeight="1">
      <c r="A318" s="8"/>
      <c r="B318" s="9" t="str">
        <f t="shared" si="1"/>
        <v>Dec-1899</v>
      </c>
      <c r="C318" s="10"/>
      <c r="D318" s="11"/>
      <c r="E318" s="25"/>
      <c r="F318" s="21"/>
      <c r="G318" s="14"/>
      <c r="H318" s="15">
        <f t="shared" si="2"/>
        <v>0</v>
      </c>
      <c r="I318" s="16">
        <f t="shared" si="3"/>
        <v>23349.59</v>
      </c>
    </row>
    <row r="319" ht="22.5" customHeight="1">
      <c r="A319" s="8"/>
      <c r="B319" s="9" t="str">
        <f t="shared" si="1"/>
        <v>Dec-1899</v>
      </c>
      <c r="C319" s="10"/>
      <c r="D319" s="11"/>
      <c r="E319" s="25"/>
      <c r="F319" s="21"/>
      <c r="G319" s="14"/>
      <c r="H319" s="15">
        <f t="shared" si="2"/>
        <v>0</v>
      </c>
      <c r="I319" s="16">
        <f t="shared" si="3"/>
        <v>23349.59</v>
      </c>
    </row>
    <row r="320" ht="22.5" customHeight="1">
      <c r="A320" s="8"/>
      <c r="B320" s="9" t="str">
        <f t="shared" si="1"/>
        <v>Dec-1899</v>
      </c>
      <c r="C320" s="10"/>
      <c r="D320" s="11"/>
      <c r="E320" s="25"/>
      <c r="F320" s="21"/>
      <c r="G320" s="14"/>
      <c r="H320" s="15">
        <f t="shared" si="2"/>
        <v>0</v>
      </c>
      <c r="I320" s="16">
        <f t="shared" si="3"/>
        <v>23349.59</v>
      </c>
    </row>
    <row r="321" ht="22.5" customHeight="1">
      <c r="A321" s="8"/>
      <c r="B321" s="9" t="str">
        <f t="shared" si="1"/>
        <v>Dec-1899</v>
      </c>
      <c r="C321" s="10"/>
      <c r="D321" s="11"/>
      <c r="E321" s="25"/>
      <c r="F321" s="21"/>
      <c r="G321" s="14"/>
      <c r="H321" s="15">
        <f t="shared" si="2"/>
        <v>0</v>
      </c>
      <c r="I321" s="16">
        <f t="shared" si="3"/>
        <v>23349.59</v>
      </c>
    </row>
    <row r="322" ht="22.5" customHeight="1">
      <c r="A322" s="8"/>
      <c r="B322" s="9" t="str">
        <f t="shared" si="1"/>
        <v>Dec-1899</v>
      </c>
      <c r="C322" s="10"/>
      <c r="D322" s="11"/>
      <c r="E322" s="25"/>
      <c r="F322" s="21"/>
      <c r="G322" s="14"/>
      <c r="H322" s="15">
        <f t="shared" si="2"/>
        <v>0</v>
      </c>
      <c r="I322" s="16">
        <f t="shared" si="3"/>
        <v>23349.59</v>
      </c>
    </row>
    <row r="323" ht="22.5" customHeight="1">
      <c r="A323" s="8"/>
      <c r="B323" s="9" t="str">
        <f t="shared" si="1"/>
        <v>Dec-1899</v>
      </c>
      <c r="C323" s="10"/>
      <c r="D323" s="11"/>
      <c r="E323" s="25"/>
      <c r="F323" s="21"/>
      <c r="G323" s="14"/>
      <c r="H323" s="15">
        <f t="shared" si="2"/>
        <v>0</v>
      </c>
      <c r="I323" s="16">
        <f t="shared" si="3"/>
        <v>23349.59</v>
      </c>
    </row>
    <row r="324" ht="22.5" customHeight="1">
      <c r="A324" s="8"/>
      <c r="B324" s="9" t="str">
        <f t="shared" si="1"/>
        <v>Dec-1899</v>
      </c>
      <c r="C324" s="10"/>
      <c r="D324" s="11"/>
      <c r="E324" s="25"/>
      <c r="F324" s="21"/>
      <c r="G324" s="14"/>
      <c r="H324" s="15">
        <f t="shared" si="2"/>
        <v>0</v>
      </c>
      <c r="I324" s="16">
        <f t="shared" si="3"/>
        <v>23349.59</v>
      </c>
    </row>
    <row r="325" ht="22.5" customHeight="1">
      <c r="A325" s="8"/>
      <c r="B325" s="9" t="str">
        <f t="shared" si="1"/>
        <v>Dec-1899</v>
      </c>
      <c r="C325" s="10"/>
      <c r="D325" s="11"/>
      <c r="E325" s="25"/>
      <c r="F325" s="21"/>
      <c r="G325" s="14"/>
      <c r="H325" s="15">
        <f t="shared" si="2"/>
        <v>0</v>
      </c>
      <c r="I325" s="16">
        <f t="shared" si="3"/>
        <v>23349.59</v>
      </c>
    </row>
    <row r="326" ht="22.5" customHeight="1">
      <c r="A326" s="8"/>
      <c r="B326" s="9" t="str">
        <f t="shared" si="1"/>
        <v>Dec-1899</v>
      </c>
      <c r="C326" s="10"/>
      <c r="D326" s="11"/>
      <c r="E326" s="25"/>
      <c r="F326" s="21"/>
      <c r="G326" s="14"/>
      <c r="H326" s="15">
        <f t="shared" si="2"/>
        <v>0</v>
      </c>
      <c r="I326" s="16">
        <f t="shared" si="3"/>
        <v>23349.59</v>
      </c>
    </row>
    <row r="327" ht="22.5" customHeight="1">
      <c r="A327" s="8"/>
      <c r="B327" s="9" t="str">
        <f t="shared" si="1"/>
        <v>Dec-1899</v>
      </c>
      <c r="C327" s="10"/>
      <c r="D327" s="11"/>
      <c r="E327" s="25"/>
      <c r="F327" s="21"/>
      <c r="G327" s="14"/>
      <c r="H327" s="15">
        <f t="shared" si="2"/>
        <v>0</v>
      </c>
      <c r="I327" s="16">
        <f t="shared" si="3"/>
        <v>23349.59</v>
      </c>
    </row>
    <row r="328" ht="22.5" customHeight="1">
      <c r="A328" s="8"/>
      <c r="B328" s="9" t="str">
        <f t="shared" si="1"/>
        <v>Dec-1899</v>
      </c>
      <c r="C328" s="10"/>
      <c r="D328" s="11"/>
      <c r="E328" s="25"/>
      <c r="F328" s="21"/>
      <c r="G328" s="14"/>
      <c r="H328" s="15">
        <f t="shared" si="2"/>
        <v>0</v>
      </c>
      <c r="I328" s="16">
        <f t="shared" si="3"/>
        <v>23349.59</v>
      </c>
    </row>
    <row r="329" ht="22.5" customHeight="1">
      <c r="A329" s="8"/>
      <c r="B329" s="9" t="str">
        <f t="shared" si="1"/>
        <v>Dec-1899</v>
      </c>
      <c r="C329" s="10"/>
      <c r="D329" s="11"/>
      <c r="E329" s="25"/>
      <c r="F329" s="21"/>
      <c r="G329" s="14"/>
      <c r="H329" s="15">
        <f t="shared" si="2"/>
        <v>0</v>
      </c>
      <c r="I329" s="16">
        <f t="shared" si="3"/>
        <v>23349.59</v>
      </c>
    </row>
    <row r="330" ht="22.5" customHeight="1">
      <c r="A330" s="8"/>
      <c r="B330" s="9" t="str">
        <f t="shared" si="1"/>
        <v>Dec-1899</v>
      </c>
      <c r="C330" s="10"/>
      <c r="D330" s="11"/>
      <c r="E330" s="25"/>
      <c r="F330" s="21"/>
      <c r="G330" s="14"/>
      <c r="H330" s="15">
        <f t="shared" si="2"/>
        <v>0</v>
      </c>
      <c r="I330" s="16">
        <f t="shared" si="3"/>
        <v>23349.59</v>
      </c>
    </row>
    <row r="331" ht="22.5" customHeight="1">
      <c r="A331" s="8"/>
      <c r="B331" s="9" t="str">
        <f t="shared" si="1"/>
        <v>Dec-1899</v>
      </c>
      <c r="C331" s="10"/>
      <c r="D331" s="11"/>
      <c r="E331" s="25"/>
      <c r="F331" s="21"/>
      <c r="G331" s="14"/>
      <c r="H331" s="15">
        <f t="shared" si="2"/>
        <v>0</v>
      </c>
      <c r="I331" s="16">
        <f t="shared" si="3"/>
        <v>23349.59</v>
      </c>
    </row>
    <row r="332" ht="22.5" customHeight="1">
      <c r="A332" s="8"/>
      <c r="B332" s="9" t="str">
        <f t="shared" si="1"/>
        <v>Dec-1899</v>
      </c>
      <c r="C332" s="10"/>
      <c r="D332" s="11"/>
      <c r="E332" s="25"/>
      <c r="F332" s="21"/>
      <c r="G332" s="14"/>
      <c r="H332" s="15">
        <f t="shared" si="2"/>
        <v>0</v>
      </c>
      <c r="I332" s="16">
        <f t="shared" si="3"/>
        <v>23349.59</v>
      </c>
    </row>
    <row r="333" ht="22.5" customHeight="1">
      <c r="A333" s="8"/>
      <c r="B333" s="9" t="str">
        <f t="shared" si="1"/>
        <v>Dec-1899</v>
      </c>
      <c r="C333" s="10"/>
      <c r="D333" s="11"/>
      <c r="E333" s="25"/>
      <c r="F333" s="21"/>
      <c r="G333" s="14"/>
      <c r="H333" s="15">
        <f t="shared" si="2"/>
        <v>0</v>
      </c>
      <c r="I333" s="16">
        <f t="shared" si="3"/>
        <v>23349.59</v>
      </c>
    </row>
    <row r="334" ht="22.5" customHeight="1">
      <c r="A334" s="8"/>
      <c r="B334" s="9" t="str">
        <f t="shared" si="1"/>
        <v>Dec-1899</v>
      </c>
      <c r="C334" s="10"/>
      <c r="D334" s="11"/>
      <c r="E334" s="25"/>
      <c r="F334" s="21"/>
      <c r="G334" s="14"/>
      <c r="H334" s="15">
        <f t="shared" si="2"/>
        <v>0</v>
      </c>
      <c r="I334" s="16">
        <f t="shared" si="3"/>
        <v>23349.59</v>
      </c>
    </row>
    <row r="335" ht="22.5" customHeight="1">
      <c r="A335" s="8"/>
      <c r="B335" s="9" t="str">
        <f t="shared" si="1"/>
        <v>Dec-1899</v>
      </c>
      <c r="C335" s="10"/>
      <c r="D335" s="11"/>
      <c r="E335" s="25"/>
      <c r="F335" s="21"/>
      <c r="G335" s="14"/>
      <c r="H335" s="15">
        <f t="shared" si="2"/>
        <v>0</v>
      </c>
      <c r="I335" s="16">
        <f t="shared" si="3"/>
        <v>23349.59</v>
      </c>
    </row>
    <row r="336" ht="22.5" customHeight="1">
      <c r="A336" s="8"/>
      <c r="B336" s="9" t="str">
        <f t="shared" si="1"/>
        <v>Dec-1899</v>
      </c>
      <c r="C336" s="10"/>
      <c r="D336" s="11"/>
      <c r="E336" s="25"/>
      <c r="F336" s="21"/>
      <c r="G336" s="14"/>
      <c r="H336" s="15">
        <f t="shared" si="2"/>
        <v>0</v>
      </c>
      <c r="I336" s="16">
        <f t="shared" si="3"/>
        <v>23349.59</v>
      </c>
    </row>
    <row r="337" ht="22.5" customHeight="1">
      <c r="A337" s="8"/>
      <c r="B337" s="9" t="str">
        <f t="shared" si="1"/>
        <v>Dec-1899</v>
      </c>
      <c r="C337" s="10"/>
      <c r="D337" s="11"/>
      <c r="E337" s="25"/>
      <c r="F337" s="21"/>
      <c r="G337" s="14"/>
      <c r="H337" s="15">
        <f t="shared" si="2"/>
        <v>0</v>
      </c>
      <c r="I337" s="16">
        <f t="shared" si="3"/>
        <v>23349.59</v>
      </c>
    </row>
    <row r="338" ht="22.5" customHeight="1">
      <c r="A338" s="8"/>
      <c r="B338" s="9" t="str">
        <f t="shared" si="1"/>
        <v>Dec-1899</v>
      </c>
      <c r="C338" s="10"/>
      <c r="D338" s="11"/>
      <c r="E338" s="25"/>
      <c r="F338" s="21"/>
      <c r="G338" s="14"/>
      <c r="H338" s="15">
        <f t="shared" si="2"/>
        <v>0</v>
      </c>
      <c r="I338" s="16">
        <f t="shared" si="3"/>
        <v>23349.59</v>
      </c>
    </row>
    <row r="339" ht="22.5" customHeight="1">
      <c r="A339" s="8"/>
      <c r="B339" s="9" t="str">
        <f t="shared" si="1"/>
        <v>Dec-1899</v>
      </c>
      <c r="C339" s="10"/>
      <c r="D339" s="11"/>
      <c r="E339" s="25"/>
      <c r="F339" s="21"/>
      <c r="G339" s="14"/>
      <c r="H339" s="15">
        <f t="shared" si="2"/>
        <v>0</v>
      </c>
      <c r="I339" s="16">
        <f t="shared" si="3"/>
        <v>23349.59</v>
      </c>
    </row>
    <row r="340" ht="22.5" customHeight="1">
      <c r="A340" s="8"/>
      <c r="B340" s="9" t="str">
        <f t="shared" si="1"/>
        <v>Dec-1899</v>
      </c>
      <c r="C340" s="10"/>
      <c r="D340" s="11"/>
      <c r="E340" s="25"/>
      <c r="F340" s="21"/>
      <c r="G340" s="14"/>
      <c r="H340" s="15">
        <f t="shared" si="2"/>
        <v>0</v>
      </c>
      <c r="I340" s="16">
        <f t="shared" si="3"/>
        <v>23349.59</v>
      </c>
    </row>
    <row r="341" ht="22.5" customHeight="1">
      <c r="A341" s="8"/>
      <c r="B341" s="9" t="str">
        <f t="shared" si="1"/>
        <v>Dec-1899</v>
      </c>
      <c r="C341" s="10"/>
      <c r="D341" s="11"/>
      <c r="E341" s="25"/>
      <c r="F341" s="21"/>
      <c r="G341" s="14"/>
      <c r="H341" s="15">
        <f t="shared" si="2"/>
        <v>0</v>
      </c>
      <c r="I341" s="16">
        <f t="shared" si="3"/>
        <v>23349.59</v>
      </c>
    </row>
    <row r="342" ht="22.5" customHeight="1">
      <c r="A342" s="8"/>
      <c r="B342" s="9" t="str">
        <f t="shared" si="1"/>
        <v>Dec-1899</v>
      </c>
      <c r="C342" s="10"/>
      <c r="D342" s="11"/>
      <c r="E342" s="25"/>
      <c r="F342" s="21"/>
      <c r="G342" s="14"/>
      <c r="H342" s="15">
        <f t="shared" si="2"/>
        <v>0</v>
      </c>
      <c r="I342" s="16">
        <f t="shared" si="3"/>
        <v>23349.59</v>
      </c>
    </row>
    <row r="343" ht="22.5" customHeight="1">
      <c r="A343" s="8"/>
      <c r="B343" s="9" t="str">
        <f t="shared" si="1"/>
        <v>Dec-1899</v>
      </c>
      <c r="C343" s="10"/>
      <c r="D343" s="11"/>
      <c r="E343" s="25"/>
      <c r="F343" s="21"/>
      <c r="G343" s="14"/>
      <c r="H343" s="15">
        <f t="shared" si="2"/>
        <v>0</v>
      </c>
      <c r="I343" s="16">
        <f t="shared" si="3"/>
        <v>23349.59</v>
      </c>
    </row>
    <row r="344" ht="22.5" customHeight="1">
      <c r="A344" s="8"/>
      <c r="B344" s="9" t="str">
        <f t="shared" si="1"/>
        <v>Dec-1899</v>
      </c>
      <c r="C344" s="10"/>
      <c r="D344" s="11"/>
      <c r="E344" s="25"/>
      <c r="F344" s="21"/>
      <c r="G344" s="14"/>
      <c r="H344" s="15">
        <f t="shared" si="2"/>
        <v>0</v>
      </c>
      <c r="I344" s="16">
        <f t="shared" si="3"/>
        <v>23349.59</v>
      </c>
    </row>
    <row r="345" ht="22.5" customHeight="1">
      <c r="A345" s="8"/>
      <c r="B345" s="9" t="str">
        <f t="shared" si="1"/>
        <v>Dec-1899</v>
      </c>
      <c r="C345" s="10"/>
      <c r="D345" s="11"/>
      <c r="E345" s="25"/>
      <c r="F345" s="21"/>
      <c r="G345" s="14"/>
      <c r="H345" s="15">
        <f t="shared" si="2"/>
        <v>0</v>
      </c>
      <c r="I345" s="16">
        <f t="shared" si="3"/>
        <v>23349.59</v>
      </c>
    </row>
    <row r="346" ht="22.5" customHeight="1">
      <c r="A346" s="8"/>
      <c r="B346" s="9" t="str">
        <f t="shared" si="1"/>
        <v>Dec-1899</v>
      </c>
      <c r="C346" s="10"/>
      <c r="D346" s="11"/>
      <c r="E346" s="25"/>
      <c r="F346" s="21"/>
      <c r="G346" s="14"/>
      <c r="H346" s="15">
        <f t="shared" si="2"/>
        <v>0</v>
      </c>
      <c r="I346" s="16">
        <f t="shared" si="3"/>
        <v>23349.59</v>
      </c>
    </row>
    <row r="347" ht="22.5" customHeight="1">
      <c r="A347" s="8"/>
      <c r="B347" s="9" t="str">
        <f t="shared" si="1"/>
        <v>Dec-1899</v>
      </c>
      <c r="C347" s="10"/>
      <c r="D347" s="11"/>
      <c r="E347" s="25"/>
      <c r="F347" s="21"/>
      <c r="G347" s="14"/>
      <c r="H347" s="15">
        <f t="shared" si="2"/>
        <v>0</v>
      </c>
      <c r="I347" s="16">
        <f t="shared" si="3"/>
        <v>23349.59</v>
      </c>
    </row>
    <row r="348" ht="22.5" customHeight="1">
      <c r="A348" s="8"/>
      <c r="B348" s="9" t="str">
        <f t="shared" si="1"/>
        <v>Dec-1899</v>
      </c>
      <c r="C348" s="10"/>
      <c r="D348" s="11"/>
      <c r="E348" s="25"/>
      <c r="F348" s="21"/>
      <c r="G348" s="14"/>
      <c r="H348" s="15">
        <f t="shared" si="2"/>
        <v>0</v>
      </c>
      <c r="I348" s="16">
        <f t="shared" si="3"/>
        <v>23349.59</v>
      </c>
    </row>
    <row r="349" ht="22.5" customHeight="1">
      <c r="A349" s="8"/>
      <c r="B349" s="9" t="str">
        <f t="shared" si="1"/>
        <v>Dec-1899</v>
      </c>
      <c r="C349" s="10"/>
      <c r="D349" s="11"/>
      <c r="E349" s="25"/>
      <c r="F349" s="21"/>
      <c r="G349" s="14"/>
      <c r="H349" s="15">
        <f t="shared" si="2"/>
        <v>0</v>
      </c>
      <c r="I349" s="16">
        <f t="shared" si="3"/>
        <v>23349.59</v>
      </c>
    </row>
    <row r="350" ht="22.5" customHeight="1">
      <c r="A350" s="8"/>
      <c r="B350" s="9" t="str">
        <f t="shared" si="1"/>
        <v>Dec-1899</v>
      </c>
      <c r="C350" s="10"/>
      <c r="D350" s="11"/>
      <c r="E350" s="25"/>
      <c r="F350" s="21"/>
      <c r="G350" s="14"/>
      <c r="H350" s="15">
        <f t="shared" si="2"/>
        <v>0</v>
      </c>
      <c r="I350" s="16">
        <f t="shared" si="3"/>
        <v>23349.59</v>
      </c>
    </row>
    <row r="351" ht="22.5" customHeight="1">
      <c r="A351" s="8"/>
      <c r="B351" s="9" t="str">
        <f t="shared" si="1"/>
        <v>Dec-1899</v>
      </c>
      <c r="C351" s="10"/>
      <c r="D351" s="11"/>
      <c r="E351" s="25"/>
      <c r="F351" s="21"/>
      <c r="G351" s="14"/>
      <c r="H351" s="15">
        <f t="shared" si="2"/>
        <v>0</v>
      </c>
      <c r="I351" s="16">
        <f t="shared" si="3"/>
        <v>23349.59</v>
      </c>
    </row>
    <row r="352" ht="22.5" customHeight="1">
      <c r="A352" s="8"/>
      <c r="B352" s="9" t="str">
        <f t="shared" si="1"/>
        <v>Dec-1899</v>
      </c>
      <c r="C352" s="10"/>
      <c r="D352" s="11"/>
      <c r="E352" s="25"/>
      <c r="F352" s="21"/>
      <c r="G352" s="14"/>
      <c r="H352" s="15">
        <f t="shared" si="2"/>
        <v>0</v>
      </c>
      <c r="I352" s="16">
        <f t="shared" si="3"/>
        <v>23349.59</v>
      </c>
    </row>
    <row r="353" ht="22.5" customHeight="1">
      <c r="A353" s="8"/>
      <c r="B353" s="9" t="str">
        <f t="shared" si="1"/>
        <v>Dec-1899</v>
      </c>
      <c r="C353" s="10"/>
      <c r="D353" s="11"/>
      <c r="E353" s="25"/>
      <c r="F353" s="21"/>
      <c r="G353" s="14"/>
      <c r="H353" s="15">
        <f t="shared" si="2"/>
        <v>0</v>
      </c>
      <c r="I353" s="16">
        <f t="shared" si="3"/>
        <v>23349.59</v>
      </c>
    </row>
    <row r="354" ht="22.5" customHeight="1">
      <c r="A354" s="8"/>
      <c r="B354" s="9" t="str">
        <f t="shared" si="1"/>
        <v>Dec-1899</v>
      </c>
      <c r="C354" s="10"/>
      <c r="D354" s="11"/>
      <c r="E354" s="25"/>
      <c r="F354" s="21"/>
      <c r="G354" s="14"/>
      <c r="H354" s="15">
        <f t="shared" si="2"/>
        <v>0</v>
      </c>
      <c r="I354" s="16">
        <f t="shared" si="3"/>
        <v>23349.59</v>
      </c>
    </row>
    <row r="355" ht="22.5" customHeight="1">
      <c r="A355" s="8"/>
      <c r="B355" s="9" t="str">
        <f t="shared" si="1"/>
        <v>Dec-1899</v>
      </c>
      <c r="C355" s="10"/>
      <c r="D355" s="11"/>
      <c r="E355" s="25"/>
      <c r="F355" s="21"/>
      <c r="G355" s="14"/>
      <c r="H355" s="15">
        <f t="shared" si="2"/>
        <v>0</v>
      </c>
      <c r="I355" s="16">
        <f t="shared" si="3"/>
        <v>23349.59</v>
      </c>
    </row>
    <row r="356" ht="22.5" customHeight="1">
      <c r="A356" s="8"/>
      <c r="B356" s="9" t="str">
        <f t="shared" si="1"/>
        <v>Dec-1899</v>
      </c>
      <c r="C356" s="10"/>
      <c r="D356" s="11"/>
      <c r="E356" s="25"/>
      <c r="F356" s="21"/>
      <c r="G356" s="14"/>
      <c r="H356" s="15">
        <f t="shared" si="2"/>
        <v>0</v>
      </c>
      <c r="I356" s="16">
        <f t="shared" si="3"/>
        <v>23349.59</v>
      </c>
    </row>
    <row r="357" ht="22.5" customHeight="1">
      <c r="A357" s="8"/>
      <c r="B357" s="9" t="str">
        <f t="shared" si="1"/>
        <v>Dec-1899</v>
      </c>
      <c r="C357" s="10"/>
      <c r="D357" s="11"/>
      <c r="E357" s="25"/>
      <c r="F357" s="21"/>
      <c r="G357" s="14"/>
      <c r="H357" s="15">
        <f t="shared" si="2"/>
        <v>0</v>
      </c>
      <c r="I357" s="16">
        <f t="shared" si="3"/>
        <v>23349.59</v>
      </c>
    </row>
    <row r="358" ht="22.5" customHeight="1">
      <c r="A358" s="8"/>
      <c r="B358" s="9" t="str">
        <f t="shared" si="1"/>
        <v>Dec-1899</v>
      </c>
      <c r="C358" s="10"/>
      <c r="D358" s="11"/>
      <c r="E358" s="25"/>
      <c r="F358" s="21"/>
      <c r="G358" s="14"/>
      <c r="H358" s="15">
        <f t="shared" si="2"/>
        <v>0</v>
      </c>
      <c r="I358" s="16">
        <f t="shared" si="3"/>
        <v>23349.59</v>
      </c>
    </row>
    <row r="359" ht="22.5" customHeight="1">
      <c r="A359" s="8"/>
      <c r="B359" s="9" t="str">
        <f t="shared" si="1"/>
        <v>Dec-1899</v>
      </c>
      <c r="C359" s="10"/>
      <c r="D359" s="11"/>
      <c r="E359" s="25"/>
      <c r="F359" s="21"/>
      <c r="G359" s="14"/>
      <c r="H359" s="15">
        <f t="shared" si="2"/>
        <v>0</v>
      </c>
      <c r="I359" s="16">
        <f t="shared" si="3"/>
        <v>23349.59</v>
      </c>
    </row>
    <row r="360" ht="22.5" customHeight="1">
      <c r="A360" s="8"/>
      <c r="B360" s="9" t="str">
        <f t="shared" si="1"/>
        <v>Dec-1899</v>
      </c>
      <c r="C360" s="10"/>
      <c r="D360" s="11"/>
      <c r="E360" s="25"/>
      <c r="F360" s="21"/>
      <c r="G360" s="14"/>
      <c r="H360" s="15">
        <f t="shared" si="2"/>
        <v>0</v>
      </c>
      <c r="I360" s="16">
        <f t="shared" si="3"/>
        <v>23349.59</v>
      </c>
    </row>
    <row r="361" ht="22.5" customHeight="1">
      <c r="A361" s="8"/>
      <c r="B361" s="9" t="str">
        <f t="shared" si="1"/>
        <v>Dec-1899</v>
      </c>
      <c r="C361" s="10"/>
      <c r="D361" s="11"/>
      <c r="E361" s="25"/>
      <c r="F361" s="21"/>
      <c r="G361" s="14"/>
      <c r="H361" s="15">
        <f t="shared" si="2"/>
        <v>0</v>
      </c>
      <c r="I361" s="16">
        <f t="shared" si="3"/>
        <v>23349.59</v>
      </c>
    </row>
    <row r="362" ht="22.5" customHeight="1">
      <c r="A362" s="8"/>
      <c r="B362" s="9" t="str">
        <f t="shared" si="1"/>
        <v>Dec-1899</v>
      </c>
      <c r="C362" s="10"/>
      <c r="D362" s="11"/>
      <c r="E362" s="25"/>
      <c r="F362" s="21"/>
      <c r="G362" s="14"/>
      <c r="H362" s="15">
        <f t="shared" si="2"/>
        <v>0</v>
      </c>
      <c r="I362" s="16">
        <f t="shared" si="3"/>
        <v>23349.59</v>
      </c>
    </row>
    <row r="363" ht="22.5" customHeight="1">
      <c r="A363" s="8"/>
      <c r="B363" s="9" t="str">
        <f t="shared" si="1"/>
        <v>Dec-1899</v>
      </c>
      <c r="C363" s="10"/>
      <c r="D363" s="11"/>
      <c r="E363" s="25"/>
      <c r="F363" s="21"/>
      <c r="G363" s="14"/>
      <c r="H363" s="15">
        <f t="shared" si="2"/>
        <v>0</v>
      </c>
      <c r="I363" s="16">
        <f t="shared" si="3"/>
        <v>23349.59</v>
      </c>
    </row>
    <row r="364" ht="22.5" customHeight="1">
      <c r="A364" s="8"/>
      <c r="B364" s="9" t="str">
        <f t="shared" si="1"/>
        <v>Dec-1899</v>
      </c>
      <c r="C364" s="10"/>
      <c r="D364" s="11"/>
      <c r="E364" s="25"/>
      <c r="F364" s="21"/>
      <c r="G364" s="14"/>
      <c r="H364" s="15">
        <f t="shared" si="2"/>
        <v>0</v>
      </c>
      <c r="I364" s="16">
        <f t="shared" si="3"/>
        <v>23349.59</v>
      </c>
    </row>
    <row r="365" ht="22.5" customHeight="1">
      <c r="A365" s="8"/>
      <c r="B365" s="9" t="str">
        <f t="shared" si="1"/>
        <v>Dec-1899</v>
      </c>
      <c r="C365" s="10"/>
      <c r="D365" s="11"/>
      <c r="E365" s="25"/>
      <c r="F365" s="21"/>
      <c r="G365" s="14"/>
      <c r="H365" s="15">
        <f t="shared" si="2"/>
        <v>0</v>
      </c>
      <c r="I365" s="16">
        <f t="shared" si="3"/>
        <v>23349.59</v>
      </c>
    </row>
    <row r="366" ht="22.5" customHeight="1">
      <c r="A366" s="8"/>
      <c r="B366" s="9" t="str">
        <f t="shared" si="1"/>
        <v>Dec-1899</v>
      </c>
      <c r="C366" s="10"/>
      <c r="D366" s="11"/>
      <c r="E366" s="25"/>
      <c r="F366" s="21"/>
      <c r="G366" s="14"/>
      <c r="H366" s="15">
        <f t="shared" si="2"/>
        <v>0</v>
      </c>
      <c r="I366" s="16">
        <f t="shared" si="3"/>
        <v>23349.59</v>
      </c>
    </row>
    <row r="367" ht="22.5" customHeight="1">
      <c r="A367" s="8"/>
      <c r="B367" s="9" t="str">
        <f t="shared" si="1"/>
        <v>Dec-1899</v>
      </c>
      <c r="C367" s="10"/>
      <c r="D367" s="11"/>
      <c r="E367" s="25"/>
      <c r="F367" s="21"/>
      <c r="G367" s="14"/>
      <c r="H367" s="15">
        <f t="shared" si="2"/>
        <v>0</v>
      </c>
      <c r="I367" s="16">
        <f t="shared" si="3"/>
        <v>23349.59</v>
      </c>
    </row>
    <row r="368" ht="22.5" customHeight="1">
      <c r="A368" s="8"/>
      <c r="B368" s="9" t="str">
        <f t="shared" si="1"/>
        <v>Dec-1899</v>
      </c>
      <c r="C368" s="10"/>
      <c r="D368" s="11"/>
      <c r="E368" s="25"/>
      <c r="F368" s="21"/>
      <c r="G368" s="14"/>
      <c r="H368" s="15">
        <f t="shared" si="2"/>
        <v>0</v>
      </c>
      <c r="I368" s="16">
        <f t="shared" si="3"/>
        <v>23349.59</v>
      </c>
    </row>
    <row r="369" ht="22.5" customHeight="1">
      <c r="A369" s="8"/>
      <c r="B369" s="9" t="str">
        <f t="shared" si="1"/>
        <v>Dec-1899</v>
      </c>
      <c r="C369" s="10"/>
      <c r="D369" s="11"/>
      <c r="E369" s="25"/>
      <c r="F369" s="21"/>
      <c r="G369" s="14"/>
      <c r="H369" s="15">
        <f t="shared" si="2"/>
        <v>0</v>
      </c>
      <c r="I369" s="16">
        <f t="shared" si="3"/>
        <v>23349.59</v>
      </c>
    </row>
    <row r="370" ht="22.5" customHeight="1">
      <c r="A370" s="8"/>
      <c r="B370" s="9" t="str">
        <f t="shared" si="1"/>
        <v>Dec-1899</v>
      </c>
      <c r="C370" s="10"/>
      <c r="D370" s="11"/>
      <c r="E370" s="25"/>
      <c r="F370" s="21"/>
      <c r="G370" s="14"/>
      <c r="H370" s="15">
        <f t="shared" si="2"/>
        <v>0</v>
      </c>
      <c r="I370" s="16">
        <f t="shared" si="3"/>
        <v>23349.59</v>
      </c>
    </row>
    <row r="371" ht="22.5" customHeight="1">
      <c r="A371" s="8"/>
      <c r="B371" s="9" t="str">
        <f t="shared" si="1"/>
        <v>Dec-1899</v>
      </c>
      <c r="C371" s="10"/>
      <c r="D371" s="11"/>
      <c r="E371" s="25"/>
      <c r="F371" s="21"/>
      <c r="G371" s="14"/>
      <c r="H371" s="15">
        <f t="shared" si="2"/>
        <v>0</v>
      </c>
      <c r="I371" s="16">
        <f t="shared" si="3"/>
        <v>23349.59</v>
      </c>
    </row>
    <row r="372" ht="22.5" customHeight="1">
      <c r="A372" s="8"/>
      <c r="B372" s="9" t="str">
        <f t="shared" si="1"/>
        <v>Dec-1899</v>
      </c>
      <c r="C372" s="10"/>
      <c r="D372" s="11"/>
      <c r="E372" s="25"/>
      <c r="F372" s="21"/>
      <c r="G372" s="14"/>
      <c r="H372" s="15">
        <f t="shared" si="2"/>
        <v>0</v>
      </c>
      <c r="I372" s="16">
        <f t="shared" si="3"/>
        <v>23349.59</v>
      </c>
    </row>
    <row r="373" ht="22.5" customHeight="1">
      <c r="A373" s="8"/>
      <c r="B373" s="9" t="str">
        <f t="shared" si="1"/>
        <v>Dec-1899</v>
      </c>
      <c r="C373" s="10"/>
      <c r="D373" s="11"/>
      <c r="E373" s="25"/>
      <c r="F373" s="21"/>
      <c r="G373" s="14"/>
      <c r="H373" s="15">
        <f t="shared" si="2"/>
        <v>0</v>
      </c>
      <c r="I373" s="16">
        <f t="shared" si="3"/>
        <v>23349.59</v>
      </c>
    </row>
    <row r="374" ht="22.5" customHeight="1">
      <c r="A374" s="8"/>
      <c r="B374" s="9" t="str">
        <f t="shared" si="1"/>
        <v>Dec-1899</v>
      </c>
      <c r="C374" s="10"/>
      <c r="D374" s="11"/>
      <c r="E374" s="25"/>
      <c r="F374" s="21"/>
      <c r="G374" s="14"/>
      <c r="H374" s="15">
        <f t="shared" si="2"/>
        <v>0</v>
      </c>
      <c r="I374" s="16">
        <f t="shared" si="3"/>
        <v>23349.59</v>
      </c>
    </row>
    <row r="375" ht="22.5" customHeight="1">
      <c r="A375" s="8"/>
      <c r="B375" s="9" t="str">
        <f t="shared" si="1"/>
        <v>Dec-1899</v>
      </c>
      <c r="C375" s="10"/>
      <c r="D375" s="11"/>
      <c r="E375" s="25"/>
      <c r="F375" s="21"/>
      <c r="G375" s="14"/>
      <c r="H375" s="15">
        <f t="shared" si="2"/>
        <v>0</v>
      </c>
      <c r="I375" s="16">
        <f t="shared" si="3"/>
        <v>23349.59</v>
      </c>
    </row>
    <row r="376" ht="22.5" customHeight="1">
      <c r="A376" s="8"/>
      <c r="B376" s="9" t="str">
        <f t="shared" si="1"/>
        <v>Dec-1899</v>
      </c>
      <c r="C376" s="10"/>
      <c r="D376" s="11"/>
      <c r="E376" s="25"/>
      <c r="F376" s="21"/>
      <c r="G376" s="14"/>
      <c r="H376" s="15">
        <f t="shared" si="2"/>
        <v>0</v>
      </c>
      <c r="I376" s="16">
        <f t="shared" si="3"/>
        <v>23349.59</v>
      </c>
    </row>
    <row r="377" ht="22.5" customHeight="1">
      <c r="A377" s="8"/>
      <c r="B377" s="9" t="str">
        <f t="shared" si="1"/>
        <v>Dec-1899</v>
      </c>
      <c r="C377" s="10"/>
      <c r="D377" s="11"/>
      <c r="E377" s="25"/>
      <c r="F377" s="21"/>
      <c r="G377" s="14"/>
      <c r="H377" s="15">
        <f t="shared" si="2"/>
        <v>0</v>
      </c>
      <c r="I377" s="16">
        <f t="shared" si="3"/>
        <v>23349.59</v>
      </c>
    </row>
    <row r="378" ht="22.5" customHeight="1">
      <c r="A378" s="8"/>
      <c r="B378" s="9" t="str">
        <f t="shared" si="1"/>
        <v>Dec-1899</v>
      </c>
      <c r="C378" s="10"/>
      <c r="D378" s="11"/>
      <c r="E378" s="25"/>
      <c r="F378" s="21"/>
      <c r="G378" s="14"/>
      <c r="H378" s="15">
        <f t="shared" si="2"/>
        <v>0</v>
      </c>
      <c r="I378" s="16">
        <f t="shared" si="3"/>
        <v>23349.59</v>
      </c>
    </row>
    <row r="379" ht="22.5" customHeight="1">
      <c r="A379" s="8"/>
      <c r="B379" s="9" t="str">
        <f t="shared" si="1"/>
        <v>Dec-1899</v>
      </c>
      <c r="C379" s="10"/>
      <c r="D379" s="11"/>
      <c r="E379" s="25"/>
      <c r="F379" s="21"/>
      <c r="G379" s="14"/>
      <c r="H379" s="15">
        <f t="shared" si="2"/>
        <v>0</v>
      </c>
      <c r="I379" s="16">
        <f t="shared" si="3"/>
        <v>23349.59</v>
      </c>
    </row>
    <row r="380" ht="22.5" customHeight="1">
      <c r="A380" s="8"/>
      <c r="B380" s="9" t="str">
        <f t="shared" si="1"/>
        <v>Dec-1899</v>
      </c>
      <c r="C380" s="10"/>
      <c r="D380" s="11"/>
      <c r="E380" s="25"/>
      <c r="F380" s="21"/>
      <c r="G380" s="14"/>
      <c r="H380" s="15">
        <f t="shared" si="2"/>
        <v>0</v>
      </c>
      <c r="I380" s="16">
        <f t="shared" si="3"/>
        <v>23349.59</v>
      </c>
    </row>
    <row r="381" ht="22.5" customHeight="1">
      <c r="A381" s="8"/>
      <c r="B381" s="9" t="str">
        <f t="shared" si="1"/>
        <v>Dec-1899</v>
      </c>
      <c r="C381" s="10"/>
      <c r="D381" s="11"/>
      <c r="E381" s="25"/>
      <c r="F381" s="21"/>
      <c r="G381" s="14"/>
      <c r="H381" s="15">
        <f t="shared" si="2"/>
        <v>0</v>
      </c>
      <c r="I381" s="16">
        <f t="shared" si="3"/>
        <v>23349.59</v>
      </c>
    </row>
    <row r="382" ht="22.5" customHeight="1">
      <c r="A382" s="8"/>
      <c r="B382" s="9" t="str">
        <f t="shared" si="1"/>
        <v>Dec-1899</v>
      </c>
      <c r="C382" s="10"/>
      <c r="D382" s="11"/>
      <c r="E382" s="25"/>
      <c r="F382" s="21"/>
      <c r="G382" s="14"/>
      <c r="H382" s="15">
        <f t="shared" si="2"/>
        <v>0</v>
      </c>
      <c r="I382" s="16">
        <f t="shared" si="3"/>
        <v>23349.59</v>
      </c>
    </row>
    <row r="383" ht="22.5" customHeight="1">
      <c r="A383" s="8"/>
      <c r="B383" s="9" t="str">
        <f t="shared" si="1"/>
        <v>Dec-1899</v>
      </c>
      <c r="C383" s="10"/>
      <c r="D383" s="11"/>
      <c r="E383" s="25"/>
      <c r="F383" s="21"/>
      <c r="G383" s="14"/>
      <c r="H383" s="15">
        <f t="shared" si="2"/>
        <v>0</v>
      </c>
      <c r="I383" s="16">
        <f t="shared" si="3"/>
        <v>23349.59</v>
      </c>
    </row>
    <row r="384" ht="22.5" customHeight="1">
      <c r="A384" s="8"/>
      <c r="B384" s="9" t="str">
        <f t="shared" si="1"/>
        <v>Dec-1899</v>
      </c>
      <c r="C384" s="10"/>
      <c r="D384" s="11"/>
      <c r="E384" s="25"/>
      <c r="F384" s="21"/>
      <c r="G384" s="14"/>
      <c r="H384" s="15">
        <f t="shared" si="2"/>
        <v>0</v>
      </c>
      <c r="I384" s="16">
        <f t="shared" si="3"/>
        <v>23349.59</v>
      </c>
    </row>
    <row r="385" ht="22.5" customHeight="1">
      <c r="A385" s="8"/>
      <c r="B385" s="9" t="str">
        <f t="shared" si="1"/>
        <v>Dec-1899</v>
      </c>
      <c r="C385" s="10"/>
      <c r="D385" s="11"/>
      <c r="E385" s="25"/>
      <c r="F385" s="21"/>
      <c r="G385" s="14"/>
      <c r="H385" s="15">
        <f t="shared" si="2"/>
        <v>0</v>
      </c>
      <c r="I385" s="16">
        <f t="shared" si="3"/>
        <v>23349.59</v>
      </c>
    </row>
    <row r="386" ht="22.5" customHeight="1">
      <c r="A386" s="8"/>
      <c r="B386" s="9" t="str">
        <f t="shared" si="1"/>
        <v>Dec-1899</v>
      </c>
      <c r="C386" s="10"/>
      <c r="D386" s="11"/>
      <c r="E386" s="25"/>
      <c r="F386" s="21"/>
      <c r="G386" s="14"/>
      <c r="H386" s="15">
        <f t="shared" si="2"/>
        <v>0</v>
      </c>
      <c r="I386" s="16">
        <f t="shared" si="3"/>
        <v>23349.59</v>
      </c>
    </row>
    <row r="387" ht="22.5" customHeight="1">
      <c r="A387" s="8"/>
      <c r="B387" s="9" t="str">
        <f t="shared" si="1"/>
        <v>Dec-1899</v>
      </c>
      <c r="C387" s="10"/>
      <c r="D387" s="11"/>
      <c r="E387" s="25"/>
      <c r="F387" s="21"/>
      <c r="G387" s="14"/>
      <c r="H387" s="15">
        <f t="shared" si="2"/>
        <v>0</v>
      </c>
      <c r="I387" s="16">
        <f t="shared" si="3"/>
        <v>23349.59</v>
      </c>
    </row>
    <row r="388" ht="22.5" customHeight="1">
      <c r="A388" s="8"/>
      <c r="B388" s="9" t="str">
        <f t="shared" si="1"/>
        <v>Dec-1899</v>
      </c>
      <c r="C388" s="10"/>
      <c r="D388" s="11"/>
      <c r="E388" s="25"/>
      <c r="F388" s="21"/>
      <c r="G388" s="14"/>
      <c r="H388" s="15">
        <f t="shared" si="2"/>
        <v>0</v>
      </c>
      <c r="I388" s="16">
        <f t="shared" si="3"/>
        <v>23349.59</v>
      </c>
    </row>
    <row r="389" ht="22.5" customHeight="1">
      <c r="A389" s="8"/>
      <c r="B389" s="9" t="str">
        <f t="shared" si="1"/>
        <v>Dec-1899</v>
      </c>
      <c r="C389" s="10"/>
      <c r="D389" s="11"/>
      <c r="E389" s="25"/>
      <c r="F389" s="21"/>
      <c r="G389" s="14"/>
      <c r="H389" s="15">
        <f t="shared" si="2"/>
        <v>0</v>
      </c>
      <c r="I389" s="16">
        <f t="shared" si="3"/>
        <v>23349.59</v>
      </c>
    </row>
    <row r="390" ht="22.5" customHeight="1">
      <c r="A390" s="8"/>
      <c r="B390" s="9" t="str">
        <f t="shared" si="1"/>
        <v>Dec-1899</v>
      </c>
      <c r="C390" s="10"/>
      <c r="D390" s="11"/>
      <c r="E390" s="25"/>
      <c r="F390" s="21"/>
      <c r="G390" s="14"/>
      <c r="H390" s="15">
        <f t="shared" si="2"/>
        <v>0</v>
      </c>
      <c r="I390" s="16">
        <f t="shared" si="3"/>
        <v>23349.59</v>
      </c>
    </row>
    <row r="391" ht="22.5" customHeight="1">
      <c r="A391" s="8"/>
      <c r="B391" s="9" t="str">
        <f t="shared" si="1"/>
        <v>Dec-1899</v>
      </c>
      <c r="C391" s="10"/>
      <c r="D391" s="11"/>
      <c r="E391" s="25"/>
      <c r="F391" s="21"/>
      <c r="G391" s="14"/>
      <c r="H391" s="15">
        <f t="shared" si="2"/>
        <v>0</v>
      </c>
      <c r="I391" s="16">
        <f t="shared" si="3"/>
        <v>23349.59</v>
      </c>
    </row>
    <row r="392" ht="22.5" customHeight="1">
      <c r="A392" s="8"/>
      <c r="B392" s="9" t="str">
        <f t="shared" si="1"/>
        <v>Dec-1899</v>
      </c>
      <c r="C392" s="10"/>
      <c r="D392" s="11"/>
      <c r="E392" s="25"/>
      <c r="F392" s="21"/>
      <c r="G392" s="14"/>
      <c r="H392" s="15">
        <f t="shared" si="2"/>
        <v>0</v>
      </c>
      <c r="I392" s="16">
        <f t="shared" si="3"/>
        <v>23349.59</v>
      </c>
    </row>
    <row r="393" ht="22.5" customHeight="1">
      <c r="A393" s="8"/>
      <c r="B393" s="9" t="str">
        <f t="shared" si="1"/>
        <v>Dec-1899</v>
      </c>
      <c r="C393" s="10"/>
      <c r="D393" s="11"/>
      <c r="E393" s="25"/>
      <c r="F393" s="21"/>
      <c r="G393" s="14"/>
      <c r="H393" s="15">
        <f t="shared" si="2"/>
        <v>0</v>
      </c>
      <c r="I393" s="16">
        <f t="shared" si="3"/>
        <v>23349.59</v>
      </c>
    </row>
    <row r="394" ht="22.5" customHeight="1">
      <c r="A394" s="8"/>
      <c r="B394" s="9" t="str">
        <f t="shared" si="1"/>
        <v>Dec-1899</v>
      </c>
      <c r="C394" s="10"/>
      <c r="D394" s="11"/>
      <c r="E394" s="25"/>
      <c r="F394" s="21"/>
      <c r="G394" s="14"/>
      <c r="H394" s="15">
        <f t="shared" si="2"/>
        <v>0</v>
      </c>
      <c r="I394" s="16">
        <f t="shared" si="3"/>
        <v>23349.59</v>
      </c>
    </row>
    <row r="395" ht="22.5" customHeight="1">
      <c r="A395" s="8"/>
      <c r="B395" s="9" t="str">
        <f t="shared" si="1"/>
        <v>Dec-1899</v>
      </c>
      <c r="C395" s="10"/>
      <c r="D395" s="11"/>
      <c r="E395" s="25"/>
      <c r="F395" s="21"/>
      <c r="G395" s="14"/>
      <c r="H395" s="15">
        <f t="shared" si="2"/>
        <v>0</v>
      </c>
      <c r="I395" s="16">
        <f t="shared" si="3"/>
        <v>23349.59</v>
      </c>
    </row>
    <row r="396" ht="22.5" customHeight="1">
      <c r="A396" s="8"/>
      <c r="B396" s="9" t="str">
        <f t="shared" si="1"/>
        <v>Dec-1899</v>
      </c>
      <c r="C396" s="10"/>
      <c r="D396" s="11"/>
      <c r="E396" s="25"/>
      <c r="F396" s="21"/>
      <c r="G396" s="14"/>
      <c r="H396" s="15">
        <f t="shared" si="2"/>
        <v>0</v>
      </c>
      <c r="I396" s="16">
        <f t="shared" si="3"/>
        <v>23349.59</v>
      </c>
    </row>
    <row r="397" ht="22.5" customHeight="1">
      <c r="A397" s="8"/>
      <c r="B397" s="9" t="str">
        <f t="shared" si="1"/>
        <v>Dec-1899</v>
      </c>
      <c r="C397" s="10"/>
      <c r="D397" s="11"/>
      <c r="E397" s="25"/>
      <c r="F397" s="21"/>
      <c r="G397" s="14"/>
      <c r="H397" s="15">
        <f t="shared" si="2"/>
        <v>0</v>
      </c>
      <c r="I397" s="16">
        <f t="shared" si="3"/>
        <v>23349.59</v>
      </c>
    </row>
    <row r="398" ht="22.5" customHeight="1">
      <c r="A398" s="8"/>
      <c r="B398" s="9" t="str">
        <f t="shared" si="1"/>
        <v>Dec-1899</v>
      </c>
      <c r="C398" s="10"/>
      <c r="D398" s="11"/>
      <c r="E398" s="25"/>
      <c r="F398" s="21"/>
      <c r="G398" s="14"/>
      <c r="H398" s="15">
        <f t="shared" si="2"/>
        <v>0</v>
      </c>
      <c r="I398" s="16">
        <f t="shared" si="3"/>
        <v>23349.59</v>
      </c>
    </row>
    <row r="399" ht="22.5" customHeight="1">
      <c r="A399" s="8"/>
      <c r="B399" s="9" t="str">
        <f t="shared" si="1"/>
        <v>Dec-1899</v>
      </c>
      <c r="C399" s="10"/>
      <c r="D399" s="11"/>
      <c r="E399" s="25"/>
      <c r="F399" s="21"/>
      <c r="G399" s="14"/>
      <c r="H399" s="15">
        <f t="shared" si="2"/>
        <v>0</v>
      </c>
      <c r="I399" s="16">
        <f t="shared" si="3"/>
        <v>23349.59</v>
      </c>
    </row>
    <row r="400" ht="22.5" customHeight="1">
      <c r="A400" s="8"/>
      <c r="B400" s="9" t="str">
        <f t="shared" si="1"/>
        <v>Dec-1899</v>
      </c>
      <c r="C400" s="10"/>
      <c r="D400" s="11"/>
      <c r="E400" s="25"/>
      <c r="F400" s="21"/>
      <c r="G400" s="14"/>
      <c r="H400" s="15">
        <f t="shared" si="2"/>
        <v>0</v>
      </c>
      <c r="I400" s="16">
        <f t="shared" si="3"/>
        <v>23349.59</v>
      </c>
    </row>
    <row r="401" ht="22.5" customHeight="1">
      <c r="A401" s="8"/>
      <c r="B401" s="9" t="str">
        <f t="shared" si="1"/>
        <v>Dec-1899</v>
      </c>
      <c r="C401" s="10"/>
      <c r="D401" s="11"/>
      <c r="E401" s="25"/>
      <c r="F401" s="21"/>
      <c r="G401" s="14"/>
      <c r="H401" s="15">
        <f t="shared" si="2"/>
        <v>0</v>
      </c>
      <c r="I401" s="16">
        <f t="shared" si="3"/>
        <v>23349.59</v>
      </c>
    </row>
    <row r="402" ht="22.5" customHeight="1">
      <c r="A402" s="8"/>
      <c r="B402" s="9" t="str">
        <f t="shared" si="1"/>
        <v>Dec-1899</v>
      </c>
      <c r="C402" s="10"/>
      <c r="D402" s="11"/>
      <c r="E402" s="25"/>
      <c r="F402" s="21"/>
      <c r="G402" s="14"/>
      <c r="H402" s="15">
        <f t="shared" si="2"/>
        <v>0</v>
      </c>
      <c r="I402" s="16">
        <f t="shared" si="3"/>
        <v>23349.59</v>
      </c>
    </row>
    <row r="403" ht="22.5" customHeight="1">
      <c r="A403" s="8"/>
      <c r="B403" s="9" t="str">
        <f t="shared" si="1"/>
        <v>Dec-1899</v>
      </c>
      <c r="C403" s="10"/>
      <c r="D403" s="11"/>
      <c r="E403" s="25"/>
      <c r="F403" s="21"/>
      <c r="G403" s="14"/>
      <c r="H403" s="15">
        <f t="shared" si="2"/>
        <v>0</v>
      </c>
      <c r="I403" s="16">
        <f t="shared" si="3"/>
        <v>23349.59</v>
      </c>
    </row>
    <row r="404" ht="22.5" customHeight="1">
      <c r="A404" s="8"/>
      <c r="B404" s="9" t="str">
        <f t="shared" si="1"/>
        <v>Dec-1899</v>
      </c>
      <c r="C404" s="10"/>
      <c r="D404" s="11"/>
      <c r="E404" s="25"/>
      <c r="F404" s="21"/>
      <c r="G404" s="14"/>
      <c r="H404" s="15">
        <f t="shared" si="2"/>
        <v>0</v>
      </c>
      <c r="I404" s="16">
        <f t="shared" si="3"/>
        <v>23349.59</v>
      </c>
    </row>
    <row r="405" ht="22.5" customHeight="1">
      <c r="A405" s="8"/>
      <c r="B405" s="9" t="str">
        <f t="shared" si="1"/>
        <v>Dec-1899</v>
      </c>
      <c r="C405" s="10"/>
      <c r="D405" s="11"/>
      <c r="E405" s="25"/>
      <c r="F405" s="21"/>
      <c r="G405" s="14"/>
      <c r="H405" s="15">
        <f t="shared" si="2"/>
        <v>0</v>
      </c>
      <c r="I405" s="16">
        <f t="shared" si="3"/>
        <v>23349.59</v>
      </c>
    </row>
    <row r="406" ht="22.5" customHeight="1">
      <c r="A406" s="8"/>
      <c r="B406" s="9" t="str">
        <f t="shared" si="1"/>
        <v>Dec-1899</v>
      </c>
      <c r="C406" s="10"/>
      <c r="D406" s="11"/>
      <c r="E406" s="25"/>
      <c r="F406" s="21"/>
      <c r="G406" s="14"/>
      <c r="H406" s="15">
        <f t="shared" si="2"/>
        <v>0</v>
      </c>
      <c r="I406" s="16">
        <f t="shared" si="3"/>
        <v>23349.59</v>
      </c>
    </row>
    <row r="407" ht="22.5" customHeight="1">
      <c r="A407" s="8"/>
      <c r="B407" s="9" t="str">
        <f t="shared" si="1"/>
        <v>Dec-1899</v>
      </c>
      <c r="C407" s="10"/>
      <c r="D407" s="11"/>
      <c r="E407" s="25"/>
      <c r="F407" s="21"/>
      <c r="G407" s="14"/>
      <c r="H407" s="15">
        <f t="shared" si="2"/>
        <v>0</v>
      </c>
      <c r="I407" s="16">
        <f t="shared" si="3"/>
        <v>23349.59</v>
      </c>
    </row>
    <row r="408" ht="22.5" customHeight="1">
      <c r="A408" s="8"/>
      <c r="B408" s="9" t="str">
        <f t="shared" si="1"/>
        <v>Dec-1899</v>
      </c>
      <c r="C408" s="10"/>
      <c r="D408" s="11"/>
      <c r="E408" s="25"/>
      <c r="F408" s="21"/>
      <c r="G408" s="14"/>
      <c r="H408" s="15">
        <f t="shared" si="2"/>
        <v>0</v>
      </c>
      <c r="I408" s="16">
        <f t="shared" si="3"/>
        <v>23349.59</v>
      </c>
    </row>
    <row r="409" ht="22.5" customHeight="1">
      <c r="A409" s="8"/>
      <c r="B409" s="9" t="str">
        <f t="shared" si="1"/>
        <v>Dec-1899</v>
      </c>
      <c r="C409" s="10"/>
      <c r="D409" s="11"/>
      <c r="E409" s="25"/>
      <c r="F409" s="21"/>
      <c r="G409" s="14"/>
      <c r="H409" s="15">
        <f t="shared" si="2"/>
        <v>0</v>
      </c>
      <c r="I409" s="16">
        <f t="shared" si="3"/>
        <v>23349.59</v>
      </c>
    </row>
    <row r="410" ht="22.5" customHeight="1">
      <c r="A410" s="8"/>
      <c r="B410" s="9" t="str">
        <f t="shared" si="1"/>
        <v>Dec-1899</v>
      </c>
      <c r="C410" s="10"/>
      <c r="D410" s="11"/>
      <c r="E410" s="25"/>
      <c r="F410" s="21"/>
      <c r="G410" s="14"/>
      <c r="H410" s="15">
        <f t="shared" si="2"/>
        <v>0</v>
      </c>
      <c r="I410" s="16">
        <f t="shared" si="3"/>
        <v>23349.59</v>
      </c>
    </row>
    <row r="411" ht="22.5" customHeight="1">
      <c r="A411" s="8"/>
      <c r="B411" s="9" t="str">
        <f t="shared" si="1"/>
        <v>Dec-1899</v>
      </c>
      <c r="C411" s="10"/>
      <c r="D411" s="11"/>
      <c r="E411" s="25"/>
      <c r="F411" s="21"/>
      <c r="G411" s="14"/>
      <c r="H411" s="15">
        <f t="shared" si="2"/>
        <v>0</v>
      </c>
      <c r="I411" s="16">
        <f t="shared" si="3"/>
        <v>23349.59</v>
      </c>
    </row>
    <row r="412" ht="22.5" customHeight="1">
      <c r="A412" s="8"/>
      <c r="B412" s="9" t="str">
        <f t="shared" si="1"/>
        <v>Dec-1899</v>
      </c>
      <c r="C412" s="10"/>
      <c r="D412" s="11"/>
      <c r="E412" s="25"/>
      <c r="F412" s="21"/>
      <c r="G412" s="14"/>
      <c r="H412" s="15">
        <f t="shared" si="2"/>
        <v>0</v>
      </c>
      <c r="I412" s="16">
        <f t="shared" si="3"/>
        <v>23349.59</v>
      </c>
    </row>
    <row r="413" ht="22.5" customHeight="1">
      <c r="A413" s="8"/>
      <c r="B413" s="9" t="str">
        <f t="shared" si="1"/>
        <v>Dec-1899</v>
      </c>
      <c r="C413" s="10"/>
      <c r="D413" s="11"/>
      <c r="E413" s="25"/>
      <c r="F413" s="21"/>
      <c r="G413" s="14"/>
      <c r="H413" s="15">
        <f t="shared" si="2"/>
        <v>0</v>
      </c>
      <c r="I413" s="16">
        <f t="shared" si="3"/>
        <v>23349.59</v>
      </c>
    </row>
    <row r="414" ht="22.5" customHeight="1">
      <c r="A414" s="8"/>
      <c r="B414" s="9" t="str">
        <f t="shared" si="1"/>
        <v>Dec-1899</v>
      </c>
      <c r="C414" s="10"/>
      <c r="D414" s="11"/>
      <c r="E414" s="25"/>
      <c r="F414" s="21"/>
      <c r="G414" s="14"/>
      <c r="H414" s="15">
        <f t="shared" si="2"/>
        <v>0</v>
      </c>
      <c r="I414" s="16">
        <f t="shared" si="3"/>
        <v>23349.59</v>
      </c>
    </row>
    <row r="415" ht="22.5" customHeight="1">
      <c r="A415" s="8"/>
      <c r="B415" s="9" t="str">
        <f t="shared" si="1"/>
        <v>Dec-1899</v>
      </c>
      <c r="C415" s="10"/>
      <c r="D415" s="11"/>
      <c r="E415" s="25"/>
      <c r="F415" s="21"/>
      <c r="G415" s="14"/>
      <c r="H415" s="15">
        <f t="shared" si="2"/>
        <v>0</v>
      </c>
      <c r="I415" s="16">
        <f t="shared" si="3"/>
        <v>23349.59</v>
      </c>
    </row>
    <row r="416" ht="22.5" customHeight="1">
      <c r="A416" s="8"/>
      <c r="B416" s="9" t="str">
        <f t="shared" si="1"/>
        <v>Dec-1899</v>
      </c>
      <c r="C416" s="10"/>
      <c r="D416" s="11"/>
      <c r="E416" s="25"/>
      <c r="F416" s="21"/>
      <c r="G416" s="14"/>
      <c r="H416" s="15">
        <f t="shared" si="2"/>
        <v>0</v>
      </c>
      <c r="I416" s="16">
        <f t="shared" si="3"/>
        <v>23349.59</v>
      </c>
    </row>
    <row r="417" ht="22.5" customHeight="1">
      <c r="A417" s="8"/>
      <c r="B417" s="9" t="str">
        <f t="shared" si="1"/>
        <v>Dec-1899</v>
      </c>
      <c r="C417" s="10"/>
      <c r="D417" s="11"/>
      <c r="E417" s="25"/>
      <c r="F417" s="21"/>
      <c r="G417" s="14"/>
      <c r="H417" s="15">
        <f t="shared" si="2"/>
        <v>0</v>
      </c>
      <c r="I417" s="16">
        <f t="shared" si="3"/>
        <v>23349.59</v>
      </c>
    </row>
    <row r="418" ht="22.5" customHeight="1">
      <c r="A418" s="8"/>
      <c r="B418" s="9" t="str">
        <f t="shared" si="1"/>
        <v>Dec-1899</v>
      </c>
      <c r="C418" s="10"/>
      <c r="D418" s="11"/>
      <c r="E418" s="25"/>
      <c r="F418" s="21"/>
      <c r="G418" s="14"/>
      <c r="H418" s="15">
        <f t="shared" si="2"/>
        <v>0</v>
      </c>
      <c r="I418" s="16">
        <f t="shared" si="3"/>
        <v>23349.59</v>
      </c>
    </row>
    <row r="419" ht="22.5" customHeight="1">
      <c r="A419" s="8"/>
      <c r="B419" s="9" t="str">
        <f t="shared" si="1"/>
        <v>Dec-1899</v>
      </c>
      <c r="C419" s="10"/>
      <c r="D419" s="11"/>
      <c r="E419" s="25"/>
      <c r="F419" s="21"/>
      <c r="G419" s="14"/>
      <c r="H419" s="15">
        <f t="shared" si="2"/>
        <v>0</v>
      </c>
      <c r="I419" s="16">
        <f t="shared" si="3"/>
        <v>23349.59</v>
      </c>
    </row>
    <row r="420" ht="22.5" customHeight="1">
      <c r="A420" s="8"/>
      <c r="B420" s="9" t="str">
        <f t="shared" si="1"/>
        <v>Dec-1899</v>
      </c>
      <c r="C420" s="10"/>
      <c r="D420" s="11"/>
      <c r="E420" s="25"/>
      <c r="F420" s="21"/>
      <c r="G420" s="14"/>
      <c r="H420" s="15">
        <f t="shared" si="2"/>
        <v>0</v>
      </c>
      <c r="I420" s="16">
        <f t="shared" si="3"/>
        <v>23349.59</v>
      </c>
    </row>
    <row r="421" ht="22.5" customHeight="1">
      <c r="A421" s="8"/>
      <c r="B421" s="9" t="str">
        <f t="shared" si="1"/>
        <v>Dec-1899</v>
      </c>
      <c r="C421" s="10"/>
      <c r="D421" s="11"/>
      <c r="E421" s="25"/>
      <c r="F421" s="21"/>
      <c r="G421" s="14"/>
      <c r="H421" s="15">
        <f t="shared" si="2"/>
        <v>0</v>
      </c>
      <c r="I421" s="16">
        <f t="shared" si="3"/>
        <v>23349.59</v>
      </c>
    </row>
    <row r="422" ht="22.5" customHeight="1">
      <c r="A422" s="8"/>
      <c r="B422" s="9" t="str">
        <f t="shared" si="1"/>
        <v>Dec-1899</v>
      </c>
      <c r="C422" s="10"/>
      <c r="D422" s="11"/>
      <c r="E422" s="25"/>
      <c r="F422" s="21"/>
      <c r="G422" s="14"/>
      <c r="H422" s="15">
        <f t="shared" si="2"/>
        <v>0</v>
      </c>
      <c r="I422" s="16">
        <f t="shared" si="3"/>
        <v>23349.59</v>
      </c>
    </row>
    <row r="423" ht="22.5" customHeight="1">
      <c r="A423" s="8"/>
      <c r="B423" s="9" t="str">
        <f t="shared" si="1"/>
        <v>Dec-1899</v>
      </c>
      <c r="C423" s="10"/>
      <c r="D423" s="11"/>
      <c r="E423" s="25"/>
      <c r="F423" s="21"/>
      <c r="G423" s="14"/>
      <c r="H423" s="15">
        <f t="shared" si="2"/>
        <v>0</v>
      </c>
      <c r="I423" s="16">
        <f t="shared" si="3"/>
        <v>23349.59</v>
      </c>
    </row>
    <row r="424" ht="22.5" customHeight="1">
      <c r="A424" s="8"/>
      <c r="B424" s="9" t="str">
        <f t="shared" si="1"/>
        <v>Dec-1899</v>
      </c>
      <c r="C424" s="10"/>
      <c r="D424" s="11"/>
      <c r="E424" s="25"/>
      <c r="F424" s="21"/>
      <c r="G424" s="14"/>
      <c r="H424" s="15">
        <f t="shared" si="2"/>
        <v>0</v>
      </c>
      <c r="I424" s="16">
        <f t="shared" si="3"/>
        <v>23349.59</v>
      </c>
    </row>
    <row r="425" ht="22.5" customHeight="1">
      <c r="A425" s="8"/>
      <c r="B425" s="9" t="str">
        <f t="shared" si="1"/>
        <v>Dec-1899</v>
      </c>
      <c r="C425" s="10"/>
      <c r="D425" s="11"/>
      <c r="E425" s="25"/>
      <c r="F425" s="21"/>
      <c r="G425" s="14"/>
      <c r="H425" s="15">
        <f t="shared" si="2"/>
        <v>0</v>
      </c>
      <c r="I425" s="16">
        <f t="shared" si="3"/>
        <v>23349.59</v>
      </c>
    </row>
    <row r="426" ht="22.5" customHeight="1">
      <c r="A426" s="8"/>
      <c r="B426" s="9" t="str">
        <f t="shared" si="1"/>
        <v>Dec-1899</v>
      </c>
      <c r="C426" s="10"/>
      <c r="D426" s="11"/>
      <c r="E426" s="25"/>
      <c r="F426" s="21"/>
      <c r="G426" s="14"/>
      <c r="H426" s="15">
        <f t="shared" si="2"/>
        <v>0</v>
      </c>
      <c r="I426" s="16">
        <f t="shared" si="3"/>
        <v>23349.59</v>
      </c>
    </row>
    <row r="427" ht="22.5" customHeight="1">
      <c r="A427" s="8"/>
      <c r="B427" s="9" t="str">
        <f t="shared" si="1"/>
        <v>Dec-1899</v>
      </c>
      <c r="C427" s="10"/>
      <c r="D427" s="11"/>
      <c r="E427" s="25"/>
      <c r="F427" s="21"/>
      <c r="G427" s="14"/>
      <c r="H427" s="15">
        <f t="shared" si="2"/>
        <v>0</v>
      </c>
      <c r="I427" s="16">
        <f t="shared" si="3"/>
        <v>23349.59</v>
      </c>
    </row>
    <row r="428" ht="22.5" customHeight="1">
      <c r="A428" s="8"/>
      <c r="B428" s="9" t="str">
        <f t="shared" si="1"/>
        <v>Dec-1899</v>
      </c>
      <c r="C428" s="10"/>
      <c r="D428" s="11"/>
      <c r="E428" s="25"/>
      <c r="F428" s="21"/>
      <c r="G428" s="14"/>
      <c r="H428" s="15">
        <f t="shared" si="2"/>
        <v>0</v>
      </c>
      <c r="I428" s="16">
        <f t="shared" si="3"/>
        <v>23349.59</v>
      </c>
    </row>
    <row r="429" ht="22.5" customHeight="1">
      <c r="A429" s="8"/>
      <c r="B429" s="9" t="str">
        <f t="shared" si="1"/>
        <v>Dec-1899</v>
      </c>
      <c r="C429" s="10"/>
      <c r="D429" s="11"/>
      <c r="E429" s="25"/>
      <c r="F429" s="21"/>
      <c r="G429" s="14"/>
      <c r="H429" s="15">
        <f t="shared" si="2"/>
        <v>0</v>
      </c>
      <c r="I429" s="16">
        <f t="shared" si="3"/>
        <v>23349.59</v>
      </c>
    </row>
    <row r="430" ht="22.5" customHeight="1">
      <c r="A430" s="8"/>
      <c r="B430" s="9" t="str">
        <f t="shared" si="1"/>
        <v>Dec-1899</v>
      </c>
      <c r="C430" s="10"/>
      <c r="D430" s="11"/>
      <c r="E430" s="25"/>
      <c r="F430" s="21"/>
      <c r="G430" s="14"/>
      <c r="H430" s="15">
        <f t="shared" si="2"/>
        <v>0</v>
      </c>
      <c r="I430" s="16">
        <f t="shared" si="3"/>
        <v>23349.59</v>
      </c>
    </row>
    <row r="431" ht="22.5" customHeight="1">
      <c r="A431" s="8"/>
      <c r="B431" s="9" t="str">
        <f t="shared" si="1"/>
        <v>Dec-1899</v>
      </c>
      <c r="C431" s="10"/>
      <c r="D431" s="11"/>
      <c r="E431" s="25"/>
      <c r="F431" s="21"/>
      <c r="G431" s="14"/>
      <c r="H431" s="15">
        <f t="shared" si="2"/>
        <v>0</v>
      </c>
      <c r="I431" s="16">
        <f t="shared" si="3"/>
        <v>23349.59</v>
      </c>
    </row>
    <row r="432" ht="22.5" customHeight="1">
      <c r="A432" s="8"/>
      <c r="B432" s="9" t="str">
        <f t="shared" si="1"/>
        <v>Dec-1899</v>
      </c>
      <c r="C432" s="10"/>
      <c r="D432" s="11"/>
      <c r="E432" s="25"/>
      <c r="F432" s="21"/>
      <c r="G432" s="14"/>
      <c r="H432" s="15">
        <f t="shared" si="2"/>
        <v>0</v>
      </c>
      <c r="I432" s="16">
        <f t="shared" si="3"/>
        <v>23349.59</v>
      </c>
    </row>
    <row r="433" ht="22.5" customHeight="1">
      <c r="A433" s="8"/>
      <c r="B433" s="9" t="str">
        <f t="shared" si="1"/>
        <v>Dec-1899</v>
      </c>
      <c r="C433" s="10"/>
      <c r="D433" s="11"/>
      <c r="E433" s="25"/>
      <c r="F433" s="21"/>
      <c r="G433" s="14"/>
      <c r="H433" s="15">
        <f t="shared" si="2"/>
        <v>0</v>
      </c>
      <c r="I433" s="16">
        <f t="shared" si="3"/>
        <v>23349.59</v>
      </c>
    </row>
    <row r="434" ht="22.5" customHeight="1">
      <c r="A434" s="8"/>
      <c r="B434" s="9" t="str">
        <f t="shared" si="1"/>
        <v>Dec-1899</v>
      </c>
      <c r="C434" s="10"/>
      <c r="D434" s="11"/>
      <c r="E434" s="25"/>
      <c r="F434" s="21"/>
      <c r="G434" s="14"/>
      <c r="H434" s="15">
        <f t="shared" si="2"/>
        <v>0</v>
      </c>
      <c r="I434" s="16">
        <f t="shared" si="3"/>
        <v>23349.59</v>
      </c>
    </row>
    <row r="435" ht="22.5" customHeight="1">
      <c r="A435" s="8"/>
      <c r="B435" s="9" t="str">
        <f t="shared" si="1"/>
        <v>Dec-1899</v>
      </c>
      <c r="C435" s="10"/>
      <c r="D435" s="11"/>
      <c r="E435" s="25"/>
      <c r="F435" s="21"/>
      <c r="G435" s="14"/>
      <c r="H435" s="15">
        <f t="shared" si="2"/>
        <v>0</v>
      </c>
      <c r="I435" s="16">
        <f t="shared" si="3"/>
        <v>23349.59</v>
      </c>
    </row>
    <row r="436" ht="22.5" customHeight="1">
      <c r="A436" s="8"/>
      <c r="B436" s="9" t="str">
        <f t="shared" si="1"/>
        <v>Dec-1899</v>
      </c>
      <c r="C436" s="10"/>
      <c r="D436" s="11"/>
      <c r="E436" s="25"/>
      <c r="F436" s="21"/>
      <c r="G436" s="14"/>
      <c r="H436" s="15">
        <f t="shared" si="2"/>
        <v>0</v>
      </c>
      <c r="I436" s="16">
        <f t="shared" si="3"/>
        <v>23349.59</v>
      </c>
    </row>
    <row r="437" ht="22.5" customHeight="1">
      <c r="A437" s="8"/>
      <c r="B437" s="9" t="str">
        <f t="shared" si="1"/>
        <v>Dec-1899</v>
      </c>
      <c r="C437" s="10"/>
      <c r="D437" s="11"/>
      <c r="E437" s="25"/>
      <c r="F437" s="21"/>
      <c r="G437" s="14"/>
      <c r="H437" s="15">
        <f t="shared" si="2"/>
        <v>0</v>
      </c>
      <c r="I437" s="16">
        <f t="shared" si="3"/>
        <v>23349.59</v>
      </c>
    </row>
    <row r="438" ht="22.5" customHeight="1">
      <c r="A438" s="8"/>
      <c r="B438" s="9" t="str">
        <f t="shared" si="1"/>
        <v>Dec-1899</v>
      </c>
      <c r="C438" s="10"/>
      <c r="D438" s="11"/>
      <c r="E438" s="25"/>
      <c r="F438" s="21"/>
      <c r="G438" s="14"/>
      <c r="H438" s="15">
        <f t="shared" si="2"/>
        <v>0</v>
      </c>
      <c r="I438" s="16">
        <f t="shared" si="3"/>
        <v>23349.59</v>
      </c>
    </row>
    <row r="439" ht="22.5" customHeight="1">
      <c r="A439" s="8"/>
      <c r="B439" s="9" t="str">
        <f t="shared" si="1"/>
        <v>Dec-1899</v>
      </c>
      <c r="C439" s="10"/>
      <c r="D439" s="11"/>
      <c r="E439" s="25"/>
      <c r="F439" s="21"/>
      <c r="G439" s="14"/>
      <c r="H439" s="15">
        <f t="shared" si="2"/>
        <v>0</v>
      </c>
      <c r="I439" s="16">
        <f t="shared" si="3"/>
        <v>23349.59</v>
      </c>
    </row>
    <row r="440" ht="22.5" customHeight="1">
      <c r="A440" s="8"/>
      <c r="B440" s="9" t="str">
        <f t="shared" si="1"/>
        <v>Dec-1899</v>
      </c>
      <c r="C440" s="10"/>
      <c r="D440" s="11"/>
      <c r="E440" s="25"/>
      <c r="F440" s="21"/>
      <c r="G440" s="14"/>
      <c r="H440" s="15">
        <f t="shared" si="2"/>
        <v>0</v>
      </c>
      <c r="I440" s="16">
        <f t="shared" si="3"/>
        <v>23349.59</v>
      </c>
    </row>
    <row r="441" ht="22.5" customHeight="1">
      <c r="A441" s="8"/>
      <c r="B441" s="9" t="str">
        <f t="shared" si="1"/>
        <v>Dec-1899</v>
      </c>
      <c r="C441" s="10"/>
      <c r="D441" s="11"/>
      <c r="E441" s="25"/>
      <c r="F441" s="21"/>
      <c r="G441" s="14"/>
      <c r="H441" s="15">
        <f t="shared" si="2"/>
        <v>0</v>
      </c>
      <c r="I441" s="16">
        <f t="shared" si="3"/>
        <v>23349.59</v>
      </c>
    </row>
    <row r="442" ht="22.5" customHeight="1">
      <c r="A442" s="8"/>
      <c r="B442" s="9" t="str">
        <f t="shared" si="1"/>
        <v>Dec-1899</v>
      </c>
      <c r="C442" s="10"/>
      <c r="D442" s="11"/>
      <c r="E442" s="25"/>
      <c r="F442" s="21"/>
      <c r="G442" s="14"/>
      <c r="H442" s="15">
        <f t="shared" si="2"/>
        <v>0</v>
      </c>
      <c r="I442" s="16">
        <f t="shared" si="3"/>
        <v>23349.59</v>
      </c>
    </row>
    <row r="443" ht="22.5" customHeight="1">
      <c r="A443" s="8"/>
      <c r="B443" s="9" t="str">
        <f t="shared" si="1"/>
        <v>Dec-1899</v>
      </c>
      <c r="C443" s="10"/>
      <c r="D443" s="11"/>
      <c r="E443" s="25"/>
      <c r="F443" s="21"/>
      <c r="G443" s="14"/>
      <c r="H443" s="15">
        <f t="shared" si="2"/>
        <v>0</v>
      </c>
      <c r="I443" s="16">
        <f t="shared" si="3"/>
        <v>23349.59</v>
      </c>
    </row>
    <row r="444" ht="22.5" customHeight="1">
      <c r="A444" s="8"/>
      <c r="B444" s="9" t="str">
        <f t="shared" si="1"/>
        <v>Dec-1899</v>
      </c>
      <c r="C444" s="10"/>
      <c r="D444" s="11"/>
      <c r="E444" s="25"/>
      <c r="F444" s="21"/>
      <c r="G444" s="14"/>
      <c r="H444" s="15">
        <f t="shared" si="2"/>
        <v>0</v>
      </c>
      <c r="I444" s="16">
        <f t="shared" si="3"/>
        <v>23349.59</v>
      </c>
    </row>
    <row r="445" ht="22.5" customHeight="1">
      <c r="A445" s="8"/>
      <c r="B445" s="9" t="str">
        <f t="shared" si="1"/>
        <v>Dec-1899</v>
      </c>
      <c r="C445" s="10"/>
      <c r="D445" s="11"/>
      <c r="E445" s="25"/>
      <c r="F445" s="21"/>
      <c r="G445" s="14"/>
      <c r="H445" s="15">
        <f t="shared" si="2"/>
        <v>0</v>
      </c>
      <c r="I445" s="16">
        <f t="shared" si="3"/>
        <v>23349.59</v>
      </c>
    </row>
    <row r="446" ht="22.5" customHeight="1">
      <c r="A446" s="8"/>
      <c r="B446" s="9" t="str">
        <f t="shared" si="1"/>
        <v>Dec-1899</v>
      </c>
      <c r="C446" s="10"/>
      <c r="D446" s="11"/>
      <c r="E446" s="25"/>
      <c r="F446" s="21"/>
      <c r="G446" s="14"/>
      <c r="H446" s="15">
        <f t="shared" si="2"/>
        <v>0</v>
      </c>
      <c r="I446" s="16">
        <f t="shared" si="3"/>
        <v>23349.59</v>
      </c>
    </row>
    <row r="447" ht="22.5" customHeight="1">
      <c r="A447" s="8"/>
      <c r="B447" s="9" t="str">
        <f t="shared" si="1"/>
        <v>Dec-1899</v>
      </c>
      <c r="C447" s="10"/>
      <c r="D447" s="11"/>
      <c r="E447" s="25"/>
      <c r="F447" s="21"/>
      <c r="G447" s="14"/>
      <c r="H447" s="15">
        <f t="shared" si="2"/>
        <v>0</v>
      </c>
      <c r="I447" s="16">
        <f t="shared" si="3"/>
        <v>23349.59</v>
      </c>
    </row>
    <row r="448" ht="22.5" customHeight="1">
      <c r="A448" s="8"/>
      <c r="B448" s="9" t="str">
        <f t="shared" si="1"/>
        <v>Dec-1899</v>
      </c>
      <c r="C448" s="10"/>
      <c r="D448" s="11"/>
      <c r="E448" s="25"/>
      <c r="F448" s="21"/>
      <c r="G448" s="14"/>
      <c r="H448" s="15">
        <f t="shared" si="2"/>
        <v>0</v>
      </c>
      <c r="I448" s="16">
        <f t="shared" si="3"/>
        <v>23349.59</v>
      </c>
    </row>
    <row r="449" ht="22.5" customHeight="1">
      <c r="A449" s="8"/>
      <c r="B449" s="9" t="str">
        <f t="shared" si="1"/>
        <v>Dec-1899</v>
      </c>
      <c r="C449" s="10"/>
      <c r="D449" s="11"/>
      <c r="E449" s="25"/>
      <c r="F449" s="21"/>
      <c r="G449" s="14"/>
      <c r="H449" s="15">
        <f t="shared" si="2"/>
        <v>0</v>
      </c>
      <c r="I449" s="16">
        <f t="shared" si="3"/>
        <v>23349.59</v>
      </c>
    </row>
    <row r="450" ht="22.5" customHeight="1">
      <c r="A450" s="8"/>
      <c r="B450" s="9" t="str">
        <f t="shared" si="1"/>
        <v>Dec-1899</v>
      </c>
      <c r="C450" s="10"/>
      <c r="D450" s="11"/>
      <c r="E450" s="25"/>
      <c r="F450" s="21"/>
      <c r="G450" s="14"/>
      <c r="H450" s="15">
        <f t="shared" si="2"/>
        <v>0</v>
      </c>
      <c r="I450" s="16">
        <f t="shared" si="3"/>
        <v>23349.59</v>
      </c>
    </row>
    <row r="451" ht="22.5" customHeight="1">
      <c r="A451" s="8"/>
      <c r="B451" s="9" t="str">
        <f t="shared" si="1"/>
        <v>Dec-1899</v>
      </c>
      <c r="C451" s="10"/>
      <c r="D451" s="11"/>
      <c r="E451" s="25"/>
      <c r="F451" s="21"/>
      <c r="G451" s="14"/>
      <c r="H451" s="15">
        <f t="shared" si="2"/>
        <v>0</v>
      </c>
      <c r="I451" s="16">
        <f t="shared" si="3"/>
        <v>23349.59</v>
      </c>
    </row>
    <row r="452" ht="22.5" customHeight="1">
      <c r="A452" s="8"/>
      <c r="B452" s="9" t="str">
        <f t="shared" si="1"/>
        <v>Dec-1899</v>
      </c>
      <c r="C452" s="10"/>
      <c r="D452" s="11"/>
      <c r="E452" s="25"/>
      <c r="F452" s="21"/>
      <c r="G452" s="14"/>
      <c r="H452" s="15">
        <f t="shared" si="2"/>
        <v>0</v>
      </c>
      <c r="I452" s="16">
        <f t="shared" si="3"/>
        <v>23349.59</v>
      </c>
    </row>
    <row r="453" ht="22.5" customHeight="1">
      <c r="A453" s="8"/>
      <c r="B453" s="9" t="str">
        <f t="shared" si="1"/>
        <v>Dec-1899</v>
      </c>
      <c r="C453" s="10"/>
      <c r="D453" s="11"/>
      <c r="E453" s="25"/>
      <c r="F453" s="21"/>
      <c r="G453" s="14"/>
      <c r="H453" s="15">
        <f t="shared" si="2"/>
        <v>0</v>
      </c>
      <c r="I453" s="16">
        <f t="shared" si="3"/>
        <v>23349.59</v>
      </c>
    </row>
    <row r="454" ht="22.5" customHeight="1">
      <c r="A454" s="8"/>
      <c r="B454" s="9" t="str">
        <f t="shared" si="1"/>
        <v>Dec-1899</v>
      </c>
      <c r="C454" s="10"/>
      <c r="D454" s="11"/>
      <c r="E454" s="25"/>
      <c r="F454" s="21"/>
      <c r="G454" s="14"/>
      <c r="H454" s="15">
        <f t="shared" si="2"/>
        <v>0</v>
      </c>
      <c r="I454" s="16">
        <f t="shared" si="3"/>
        <v>23349.59</v>
      </c>
    </row>
    <row r="455" ht="22.5" customHeight="1">
      <c r="A455" s="8"/>
      <c r="B455" s="9" t="str">
        <f t="shared" si="1"/>
        <v>Dec-1899</v>
      </c>
      <c r="C455" s="10"/>
      <c r="D455" s="11"/>
      <c r="E455" s="25"/>
      <c r="F455" s="21"/>
      <c r="G455" s="14"/>
      <c r="H455" s="15">
        <f t="shared" si="2"/>
        <v>0</v>
      </c>
      <c r="I455" s="16">
        <f t="shared" si="3"/>
        <v>23349.59</v>
      </c>
    </row>
    <row r="456" ht="22.5" customHeight="1">
      <c r="A456" s="8"/>
      <c r="B456" s="9" t="str">
        <f t="shared" si="1"/>
        <v>Dec-1899</v>
      </c>
      <c r="C456" s="10"/>
      <c r="D456" s="11"/>
      <c r="E456" s="25"/>
      <c r="F456" s="21"/>
      <c r="G456" s="14"/>
      <c r="H456" s="15">
        <f t="shared" si="2"/>
        <v>0</v>
      </c>
      <c r="I456" s="16">
        <f t="shared" si="3"/>
        <v>23349.59</v>
      </c>
    </row>
    <row r="457" ht="22.5" customHeight="1">
      <c r="A457" s="8"/>
      <c r="B457" s="9" t="str">
        <f t="shared" si="1"/>
        <v>Dec-1899</v>
      </c>
      <c r="C457" s="10"/>
      <c r="D457" s="11"/>
      <c r="E457" s="25"/>
      <c r="F457" s="21"/>
      <c r="G457" s="14"/>
      <c r="H457" s="15">
        <f t="shared" si="2"/>
        <v>0</v>
      </c>
      <c r="I457" s="16">
        <f t="shared" si="3"/>
        <v>23349.59</v>
      </c>
    </row>
    <row r="458" ht="22.5" customHeight="1">
      <c r="A458" s="8"/>
      <c r="B458" s="9" t="str">
        <f t="shared" si="1"/>
        <v>Dec-1899</v>
      </c>
      <c r="C458" s="10"/>
      <c r="D458" s="11"/>
      <c r="E458" s="25"/>
      <c r="F458" s="21"/>
      <c r="G458" s="14"/>
      <c r="H458" s="15">
        <f t="shared" si="2"/>
        <v>0</v>
      </c>
      <c r="I458" s="16">
        <f t="shared" si="3"/>
        <v>23349.59</v>
      </c>
    </row>
    <row r="459" ht="22.5" customHeight="1">
      <c r="A459" s="8"/>
      <c r="B459" s="9" t="str">
        <f t="shared" si="1"/>
        <v>Dec-1899</v>
      </c>
      <c r="C459" s="10"/>
      <c r="D459" s="11"/>
      <c r="E459" s="25"/>
      <c r="F459" s="21"/>
      <c r="G459" s="14"/>
      <c r="H459" s="15">
        <f t="shared" si="2"/>
        <v>0</v>
      </c>
      <c r="I459" s="16">
        <f t="shared" si="3"/>
        <v>23349.59</v>
      </c>
    </row>
    <row r="460" ht="22.5" customHeight="1">
      <c r="A460" s="8"/>
      <c r="B460" s="9" t="str">
        <f t="shared" si="1"/>
        <v>Dec-1899</v>
      </c>
      <c r="C460" s="10"/>
      <c r="D460" s="11"/>
      <c r="E460" s="25"/>
      <c r="F460" s="21"/>
      <c r="G460" s="14"/>
      <c r="H460" s="15">
        <f t="shared" si="2"/>
        <v>0</v>
      </c>
      <c r="I460" s="16">
        <f t="shared" si="3"/>
        <v>23349.59</v>
      </c>
    </row>
    <row r="461" ht="22.5" customHeight="1">
      <c r="A461" s="8"/>
      <c r="B461" s="9" t="str">
        <f t="shared" si="1"/>
        <v>Dec-1899</v>
      </c>
      <c r="C461" s="10"/>
      <c r="D461" s="11"/>
      <c r="E461" s="25"/>
      <c r="F461" s="21"/>
      <c r="G461" s="14"/>
      <c r="H461" s="15">
        <f t="shared" si="2"/>
        <v>0</v>
      </c>
      <c r="I461" s="16">
        <f t="shared" si="3"/>
        <v>23349.59</v>
      </c>
    </row>
    <row r="462" ht="22.5" customHeight="1">
      <c r="A462" s="8"/>
      <c r="B462" s="9" t="str">
        <f t="shared" si="1"/>
        <v>Dec-1899</v>
      </c>
      <c r="C462" s="10"/>
      <c r="D462" s="11"/>
      <c r="E462" s="25"/>
      <c r="F462" s="21"/>
      <c r="G462" s="14"/>
      <c r="H462" s="15">
        <f t="shared" si="2"/>
        <v>0</v>
      </c>
      <c r="I462" s="16">
        <f t="shared" si="3"/>
        <v>23349.59</v>
      </c>
    </row>
    <row r="463" ht="22.5" customHeight="1">
      <c r="A463" s="8"/>
      <c r="B463" s="9" t="str">
        <f t="shared" si="1"/>
        <v>Dec-1899</v>
      </c>
      <c r="C463" s="10"/>
      <c r="D463" s="11"/>
      <c r="E463" s="25"/>
      <c r="F463" s="21"/>
      <c r="G463" s="14"/>
      <c r="H463" s="15">
        <f t="shared" si="2"/>
        <v>0</v>
      </c>
      <c r="I463" s="16">
        <f t="shared" si="3"/>
        <v>23349.59</v>
      </c>
    </row>
    <row r="464" ht="22.5" customHeight="1">
      <c r="A464" s="8"/>
      <c r="B464" s="9" t="str">
        <f t="shared" si="1"/>
        <v>Dec-1899</v>
      </c>
      <c r="C464" s="10"/>
      <c r="D464" s="11"/>
      <c r="E464" s="25"/>
      <c r="F464" s="21"/>
      <c r="G464" s="14"/>
      <c r="H464" s="15">
        <f t="shared" si="2"/>
        <v>0</v>
      </c>
      <c r="I464" s="16">
        <f t="shared" si="3"/>
        <v>23349.59</v>
      </c>
    </row>
    <row r="465" ht="22.5" customHeight="1">
      <c r="A465" s="8"/>
      <c r="B465" s="9" t="str">
        <f t="shared" si="1"/>
        <v>Dec-1899</v>
      </c>
      <c r="C465" s="10"/>
      <c r="D465" s="11"/>
      <c r="E465" s="25"/>
      <c r="F465" s="21"/>
      <c r="G465" s="14"/>
      <c r="H465" s="15">
        <f t="shared" si="2"/>
        <v>0</v>
      </c>
      <c r="I465" s="16">
        <f t="shared" si="3"/>
        <v>23349.59</v>
      </c>
    </row>
    <row r="466" ht="22.5" customHeight="1">
      <c r="A466" s="8"/>
      <c r="B466" s="9" t="str">
        <f t="shared" si="1"/>
        <v>Dec-1899</v>
      </c>
      <c r="C466" s="10"/>
      <c r="D466" s="11"/>
      <c r="E466" s="25"/>
      <c r="F466" s="21"/>
      <c r="G466" s="14"/>
      <c r="H466" s="15">
        <f t="shared" si="2"/>
        <v>0</v>
      </c>
      <c r="I466" s="16">
        <f t="shared" si="3"/>
        <v>23349.59</v>
      </c>
    </row>
    <row r="467" ht="22.5" customHeight="1">
      <c r="A467" s="8"/>
      <c r="B467" s="9" t="str">
        <f t="shared" si="1"/>
        <v>Dec-1899</v>
      </c>
      <c r="C467" s="10"/>
      <c r="D467" s="11"/>
      <c r="E467" s="25"/>
      <c r="F467" s="21"/>
      <c r="G467" s="14"/>
      <c r="H467" s="15">
        <f t="shared" si="2"/>
        <v>0</v>
      </c>
      <c r="I467" s="16">
        <f t="shared" si="3"/>
        <v>23349.59</v>
      </c>
    </row>
    <row r="468" ht="22.5" customHeight="1">
      <c r="A468" s="8"/>
      <c r="B468" s="9" t="str">
        <f t="shared" si="1"/>
        <v>Dec-1899</v>
      </c>
      <c r="C468" s="10"/>
      <c r="D468" s="11"/>
      <c r="E468" s="25"/>
      <c r="F468" s="21"/>
      <c r="G468" s="14"/>
      <c r="H468" s="15">
        <f t="shared" si="2"/>
        <v>0</v>
      </c>
      <c r="I468" s="16">
        <f t="shared" si="3"/>
        <v>23349.59</v>
      </c>
    </row>
    <row r="469" ht="22.5" customHeight="1">
      <c r="A469" s="8"/>
      <c r="B469" s="9" t="str">
        <f t="shared" si="1"/>
        <v>Dec-1899</v>
      </c>
      <c r="C469" s="10"/>
      <c r="D469" s="11"/>
      <c r="E469" s="25"/>
      <c r="F469" s="21"/>
      <c r="G469" s="14"/>
      <c r="H469" s="15">
        <f t="shared" si="2"/>
        <v>0</v>
      </c>
      <c r="I469" s="16">
        <f t="shared" si="3"/>
        <v>23349.59</v>
      </c>
    </row>
    <row r="470" ht="22.5" customHeight="1">
      <c r="A470" s="8"/>
      <c r="B470" s="9" t="str">
        <f t="shared" si="1"/>
        <v>Dec-1899</v>
      </c>
      <c r="C470" s="10"/>
      <c r="D470" s="11"/>
      <c r="E470" s="25"/>
      <c r="F470" s="21"/>
      <c r="G470" s="14"/>
      <c r="H470" s="15">
        <f t="shared" si="2"/>
        <v>0</v>
      </c>
      <c r="I470" s="16">
        <f t="shared" si="3"/>
        <v>23349.59</v>
      </c>
    </row>
    <row r="471" ht="22.5" customHeight="1">
      <c r="A471" s="8"/>
      <c r="B471" s="9" t="str">
        <f t="shared" si="1"/>
        <v>Dec-1899</v>
      </c>
      <c r="C471" s="10"/>
      <c r="D471" s="11"/>
      <c r="E471" s="25"/>
      <c r="F471" s="21"/>
      <c r="G471" s="14"/>
      <c r="H471" s="15">
        <f t="shared" si="2"/>
        <v>0</v>
      </c>
      <c r="I471" s="16">
        <f t="shared" si="3"/>
        <v>23349.59</v>
      </c>
    </row>
    <row r="472" ht="22.5" customHeight="1">
      <c r="A472" s="8"/>
      <c r="B472" s="9" t="str">
        <f t="shared" si="1"/>
        <v>Dec-1899</v>
      </c>
      <c r="C472" s="10"/>
      <c r="D472" s="11"/>
      <c r="E472" s="25"/>
      <c r="F472" s="21"/>
      <c r="G472" s="14"/>
      <c r="H472" s="15">
        <f t="shared" si="2"/>
        <v>0</v>
      </c>
      <c r="I472" s="16">
        <f t="shared" si="3"/>
        <v>23349.59</v>
      </c>
    </row>
    <row r="473" ht="22.5" customHeight="1">
      <c r="A473" s="8"/>
      <c r="B473" s="9" t="str">
        <f t="shared" si="1"/>
        <v>Dec-1899</v>
      </c>
      <c r="C473" s="10"/>
      <c r="D473" s="11"/>
      <c r="E473" s="25"/>
      <c r="F473" s="21"/>
      <c r="G473" s="14"/>
      <c r="H473" s="15">
        <f t="shared" si="2"/>
        <v>0</v>
      </c>
      <c r="I473" s="16">
        <f t="shared" si="3"/>
        <v>23349.59</v>
      </c>
    </row>
    <row r="474" ht="22.5" customHeight="1">
      <c r="A474" s="8"/>
      <c r="B474" s="9" t="str">
        <f t="shared" si="1"/>
        <v>Dec-1899</v>
      </c>
      <c r="C474" s="10"/>
      <c r="D474" s="11"/>
      <c r="E474" s="25"/>
      <c r="F474" s="21"/>
      <c r="G474" s="14"/>
      <c r="H474" s="15">
        <f t="shared" si="2"/>
        <v>0</v>
      </c>
      <c r="I474" s="16">
        <f t="shared" si="3"/>
        <v>23349.59</v>
      </c>
    </row>
    <row r="475" ht="22.5" customHeight="1">
      <c r="A475" s="8"/>
      <c r="B475" s="9" t="str">
        <f t="shared" si="1"/>
        <v>Dec-1899</v>
      </c>
      <c r="C475" s="10"/>
      <c r="D475" s="11"/>
      <c r="E475" s="25"/>
      <c r="F475" s="21"/>
      <c r="G475" s="14"/>
      <c r="H475" s="15">
        <f t="shared" si="2"/>
        <v>0</v>
      </c>
      <c r="I475" s="16">
        <f t="shared" si="3"/>
        <v>23349.59</v>
      </c>
    </row>
    <row r="476" ht="22.5" customHeight="1">
      <c r="A476" s="8"/>
      <c r="B476" s="9" t="str">
        <f t="shared" si="1"/>
        <v>Dec-1899</v>
      </c>
      <c r="C476" s="10"/>
      <c r="D476" s="11"/>
      <c r="E476" s="25"/>
      <c r="F476" s="21"/>
      <c r="G476" s="14"/>
      <c r="H476" s="15">
        <f t="shared" si="2"/>
        <v>0</v>
      </c>
      <c r="I476" s="16">
        <f t="shared" si="3"/>
        <v>23349.59</v>
      </c>
    </row>
    <row r="477" ht="22.5" customHeight="1">
      <c r="A477" s="8"/>
      <c r="B477" s="9" t="str">
        <f t="shared" si="1"/>
        <v>Dec-1899</v>
      </c>
      <c r="C477" s="10"/>
      <c r="D477" s="11"/>
      <c r="E477" s="25"/>
      <c r="F477" s="21"/>
      <c r="G477" s="14"/>
      <c r="H477" s="15">
        <f t="shared" si="2"/>
        <v>0</v>
      </c>
      <c r="I477" s="16">
        <f t="shared" si="3"/>
        <v>23349.59</v>
      </c>
    </row>
    <row r="478" ht="22.5" customHeight="1">
      <c r="A478" s="8"/>
      <c r="B478" s="9" t="str">
        <f t="shared" si="1"/>
        <v>Dec-1899</v>
      </c>
      <c r="C478" s="10"/>
      <c r="D478" s="11"/>
      <c r="E478" s="25"/>
      <c r="F478" s="21"/>
      <c r="G478" s="14"/>
      <c r="H478" s="15">
        <f t="shared" si="2"/>
        <v>0</v>
      </c>
      <c r="I478" s="16">
        <f t="shared" si="3"/>
        <v>23349.59</v>
      </c>
    </row>
    <row r="479" ht="22.5" customHeight="1">
      <c r="A479" s="8"/>
      <c r="B479" s="9" t="str">
        <f t="shared" si="1"/>
        <v>Dec-1899</v>
      </c>
      <c r="C479" s="10"/>
      <c r="D479" s="11"/>
      <c r="E479" s="25"/>
      <c r="F479" s="21"/>
      <c r="G479" s="14"/>
      <c r="H479" s="15">
        <f t="shared" si="2"/>
        <v>0</v>
      </c>
      <c r="I479" s="16">
        <f t="shared" si="3"/>
        <v>23349.59</v>
      </c>
    </row>
    <row r="480" ht="22.5" customHeight="1">
      <c r="A480" s="8"/>
      <c r="B480" s="9" t="str">
        <f t="shared" si="1"/>
        <v>Dec-1899</v>
      </c>
      <c r="C480" s="10"/>
      <c r="D480" s="11"/>
      <c r="E480" s="25"/>
      <c r="F480" s="21"/>
      <c r="G480" s="14"/>
      <c r="H480" s="15">
        <f t="shared" si="2"/>
        <v>0</v>
      </c>
      <c r="I480" s="16">
        <f t="shared" si="3"/>
        <v>23349.59</v>
      </c>
    </row>
    <row r="481" ht="22.5" customHeight="1">
      <c r="A481" s="8"/>
      <c r="B481" s="9" t="str">
        <f t="shared" si="1"/>
        <v>Dec-1899</v>
      </c>
      <c r="C481" s="10"/>
      <c r="D481" s="11"/>
      <c r="E481" s="25"/>
      <c r="F481" s="21"/>
      <c r="G481" s="14"/>
      <c r="H481" s="15">
        <f t="shared" si="2"/>
        <v>0</v>
      </c>
      <c r="I481" s="16">
        <f t="shared" si="3"/>
        <v>23349.59</v>
      </c>
    </row>
    <row r="482" ht="22.5" customHeight="1">
      <c r="A482" s="8"/>
      <c r="B482" s="9" t="str">
        <f t="shared" si="1"/>
        <v>Dec-1899</v>
      </c>
      <c r="C482" s="10"/>
      <c r="D482" s="11"/>
      <c r="E482" s="25"/>
      <c r="F482" s="21"/>
      <c r="G482" s="14"/>
      <c r="H482" s="15">
        <f t="shared" si="2"/>
        <v>0</v>
      </c>
      <c r="I482" s="16">
        <f t="shared" si="3"/>
        <v>23349.59</v>
      </c>
    </row>
    <row r="483" ht="22.5" customHeight="1">
      <c r="A483" s="8"/>
      <c r="B483" s="9" t="str">
        <f t="shared" si="1"/>
        <v>Dec-1899</v>
      </c>
      <c r="C483" s="10"/>
      <c r="D483" s="11"/>
      <c r="E483" s="25"/>
      <c r="F483" s="21"/>
      <c r="G483" s="14"/>
      <c r="H483" s="15">
        <f t="shared" si="2"/>
        <v>0</v>
      </c>
      <c r="I483" s="16">
        <f t="shared" si="3"/>
        <v>23349.59</v>
      </c>
    </row>
    <row r="484" ht="22.5" customHeight="1">
      <c r="A484" s="8"/>
      <c r="B484" s="9" t="str">
        <f t="shared" si="1"/>
        <v>Dec-1899</v>
      </c>
      <c r="C484" s="10"/>
      <c r="D484" s="11"/>
      <c r="E484" s="25"/>
      <c r="F484" s="21"/>
      <c r="G484" s="14"/>
      <c r="H484" s="15">
        <f t="shared" si="2"/>
        <v>0</v>
      </c>
      <c r="I484" s="16">
        <f t="shared" si="3"/>
        <v>23349.59</v>
      </c>
    </row>
    <row r="485" ht="22.5" customHeight="1">
      <c r="A485" s="8"/>
      <c r="B485" s="9" t="str">
        <f t="shared" si="1"/>
        <v>Dec-1899</v>
      </c>
      <c r="C485" s="10"/>
      <c r="D485" s="11"/>
      <c r="E485" s="25"/>
      <c r="F485" s="21"/>
      <c r="G485" s="14"/>
      <c r="H485" s="15">
        <f t="shared" si="2"/>
        <v>0</v>
      </c>
      <c r="I485" s="16">
        <f t="shared" si="3"/>
        <v>23349.59</v>
      </c>
    </row>
    <row r="486" ht="22.5" customHeight="1">
      <c r="A486" s="8"/>
      <c r="B486" s="9" t="str">
        <f t="shared" si="1"/>
        <v>Dec-1899</v>
      </c>
      <c r="C486" s="10"/>
      <c r="D486" s="11"/>
      <c r="E486" s="25"/>
      <c r="F486" s="21"/>
      <c r="G486" s="14"/>
      <c r="H486" s="15">
        <f t="shared" si="2"/>
        <v>0</v>
      </c>
      <c r="I486" s="16">
        <f t="shared" si="3"/>
        <v>23349.59</v>
      </c>
    </row>
    <row r="487" ht="22.5" customHeight="1">
      <c r="A487" s="8"/>
      <c r="B487" s="9" t="str">
        <f t="shared" si="1"/>
        <v>Dec-1899</v>
      </c>
      <c r="C487" s="10"/>
      <c r="D487" s="11"/>
      <c r="E487" s="25"/>
      <c r="F487" s="21"/>
      <c r="G487" s="14"/>
      <c r="H487" s="15">
        <f t="shared" si="2"/>
        <v>0</v>
      </c>
      <c r="I487" s="16">
        <f t="shared" si="3"/>
        <v>23349.59</v>
      </c>
    </row>
    <row r="488" ht="22.5" customHeight="1">
      <c r="A488" s="8"/>
      <c r="B488" s="9" t="str">
        <f t="shared" si="1"/>
        <v>Dec-1899</v>
      </c>
      <c r="C488" s="10"/>
      <c r="D488" s="11"/>
      <c r="E488" s="25"/>
      <c r="F488" s="21"/>
      <c r="G488" s="14"/>
      <c r="H488" s="15">
        <f t="shared" si="2"/>
        <v>0</v>
      </c>
      <c r="I488" s="16">
        <f t="shared" si="3"/>
        <v>23349.59</v>
      </c>
    </row>
    <row r="489" ht="22.5" customHeight="1">
      <c r="A489" s="8"/>
      <c r="B489" s="9" t="str">
        <f t="shared" si="1"/>
        <v>Dec-1899</v>
      </c>
      <c r="C489" s="10"/>
      <c r="D489" s="11"/>
      <c r="E489" s="25"/>
      <c r="F489" s="21"/>
      <c r="G489" s="14"/>
      <c r="H489" s="15">
        <f t="shared" si="2"/>
        <v>0</v>
      </c>
      <c r="I489" s="16">
        <f t="shared" si="3"/>
        <v>23349.59</v>
      </c>
    </row>
    <row r="490" ht="22.5" customHeight="1">
      <c r="A490" s="8"/>
      <c r="B490" s="9" t="str">
        <f t="shared" si="1"/>
        <v>Dec-1899</v>
      </c>
      <c r="C490" s="10"/>
      <c r="D490" s="11"/>
      <c r="E490" s="25"/>
      <c r="F490" s="21"/>
      <c r="G490" s="14"/>
      <c r="H490" s="15">
        <f t="shared" si="2"/>
        <v>0</v>
      </c>
      <c r="I490" s="16">
        <f t="shared" si="3"/>
        <v>23349.59</v>
      </c>
    </row>
    <row r="491" ht="22.5" customHeight="1">
      <c r="A491" s="8"/>
      <c r="B491" s="9" t="str">
        <f t="shared" si="1"/>
        <v>Dec-1899</v>
      </c>
      <c r="C491" s="10"/>
      <c r="D491" s="11"/>
      <c r="E491" s="25"/>
      <c r="F491" s="21"/>
      <c r="G491" s="14"/>
      <c r="H491" s="15">
        <f t="shared" si="2"/>
        <v>0</v>
      </c>
      <c r="I491" s="16">
        <f t="shared" si="3"/>
        <v>23349.59</v>
      </c>
    </row>
    <row r="492" ht="22.5" customHeight="1">
      <c r="A492" s="8"/>
      <c r="B492" s="9" t="str">
        <f t="shared" si="1"/>
        <v>Dec-1899</v>
      </c>
      <c r="C492" s="10"/>
      <c r="D492" s="11"/>
      <c r="E492" s="25"/>
      <c r="F492" s="21"/>
      <c r="G492" s="14"/>
      <c r="H492" s="15">
        <f t="shared" si="2"/>
        <v>0</v>
      </c>
      <c r="I492" s="16">
        <f t="shared" si="3"/>
        <v>23349.59</v>
      </c>
    </row>
    <row r="493" ht="22.5" customHeight="1">
      <c r="A493" s="8"/>
      <c r="B493" s="9" t="str">
        <f t="shared" si="1"/>
        <v>Dec-1899</v>
      </c>
      <c r="C493" s="10"/>
      <c r="D493" s="11"/>
      <c r="E493" s="25"/>
      <c r="F493" s="21"/>
      <c r="G493" s="14"/>
      <c r="H493" s="15">
        <f t="shared" si="2"/>
        <v>0</v>
      </c>
      <c r="I493" s="16">
        <f t="shared" si="3"/>
        <v>23349.59</v>
      </c>
    </row>
    <row r="494" ht="22.5" customHeight="1">
      <c r="A494" s="8"/>
      <c r="B494" s="9" t="str">
        <f t="shared" si="1"/>
        <v>Dec-1899</v>
      </c>
      <c r="C494" s="10"/>
      <c r="D494" s="11"/>
      <c r="E494" s="25"/>
      <c r="F494" s="21"/>
      <c r="G494" s="14"/>
      <c r="H494" s="15">
        <f t="shared" si="2"/>
        <v>0</v>
      </c>
      <c r="I494" s="16">
        <f t="shared" si="3"/>
        <v>23349.59</v>
      </c>
    </row>
    <row r="495" ht="22.5" customHeight="1">
      <c r="A495" s="8"/>
      <c r="B495" s="9" t="str">
        <f t="shared" si="1"/>
        <v>Dec-1899</v>
      </c>
      <c r="C495" s="10"/>
      <c r="D495" s="11"/>
      <c r="E495" s="25"/>
      <c r="F495" s="21"/>
      <c r="G495" s="14"/>
      <c r="H495" s="15">
        <f t="shared" si="2"/>
        <v>0</v>
      </c>
      <c r="I495" s="16">
        <f t="shared" si="3"/>
        <v>23349.59</v>
      </c>
    </row>
    <row r="496" ht="22.5" customHeight="1">
      <c r="A496" s="8"/>
      <c r="B496" s="9" t="str">
        <f t="shared" si="1"/>
        <v>Dec-1899</v>
      </c>
      <c r="C496" s="10"/>
      <c r="D496" s="11"/>
      <c r="E496" s="25"/>
      <c r="F496" s="21"/>
      <c r="G496" s="14"/>
      <c r="H496" s="15">
        <f t="shared" si="2"/>
        <v>0</v>
      </c>
      <c r="I496" s="16">
        <f t="shared" si="3"/>
        <v>23349.59</v>
      </c>
    </row>
    <row r="497" ht="22.5" customHeight="1">
      <c r="A497" s="8"/>
      <c r="B497" s="9" t="str">
        <f t="shared" si="1"/>
        <v>Dec-1899</v>
      </c>
      <c r="C497" s="10"/>
      <c r="D497" s="11"/>
      <c r="E497" s="25"/>
      <c r="F497" s="21"/>
      <c r="G497" s="14"/>
      <c r="H497" s="15">
        <f t="shared" si="2"/>
        <v>0</v>
      </c>
      <c r="I497" s="16">
        <f t="shared" si="3"/>
        <v>23349.59</v>
      </c>
    </row>
    <row r="498" ht="22.5" customHeight="1">
      <c r="A498" s="8"/>
      <c r="B498" s="9" t="str">
        <f t="shared" si="1"/>
        <v>Dec-1899</v>
      </c>
      <c r="C498" s="10"/>
      <c r="D498" s="11"/>
      <c r="E498" s="25"/>
      <c r="F498" s="21"/>
      <c r="G498" s="14"/>
      <c r="H498" s="15">
        <f t="shared" si="2"/>
        <v>0</v>
      </c>
      <c r="I498" s="16">
        <f t="shared" si="3"/>
        <v>23349.59</v>
      </c>
    </row>
    <row r="499" ht="22.5" customHeight="1">
      <c r="A499" s="8"/>
      <c r="B499" s="9" t="str">
        <f t="shared" si="1"/>
        <v>Dec-1899</v>
      </c>
      <c r="C499" s="10"/>
      <c r="D499" s="11"/>
      <c r="E499" s="25"/>
      <c r="F499" s="21"/>
      <c r="G499" s="14"/>
      <c r="H499" s="15">
        <f t="shared" si="2"/>
        <v>0</v>
      </c>
      <c r="I499" s="16">
        <f t="shared" si="3"/>
        <v>23349.59</v>
      </c>
    </row>
    <row r="500" ht="22.5" customHeight="1">
      <c r="A500" s="8"/>
      <c r="B500" s="9" t="str">
        <f t="shared" si="1"/>
        <v>Dec-1899</v>
      </c>
      <c r="C500" s="10"/>
      <c r="D500" s="11"/>
      <c r="E500" s="25"/>
      <c r="F500" s="21"/>
      <c r="G500" s="14"/>
      <c r="H500" s="15">
        <f t="shared" si="2"/>
        <v>0</v>
      </c>
      <c r="I500" s="16">
        <f t="shared" si="3"/>
        <v>23349.59</v>
      </c>
    </row>
    <row r="501" ht="22.5" customHeight="1">
      <c r="A501" s="8"/>
      <c r="B501" s="9" t="str">
        <f t="shared" si="1"/>
        <v>Dec-1899</v>
      </c>
      <c r="C501" s="10"/>
      <c r="D501" s="11"/>
      <c r="E501" s="25"/>
      <c r="F501" s="21"/>
      <c r="G501" s="14"/>
      <c r="H501" s="15">
        <f t="shared" si="2"/>
        <v>0</v>
      </c>
      <c r="I501" s="16">
        <f t="shared" si="3"/>
        <v>23349.59</v>
      </c>
    </row>
    <row r="502" ht="22.5" customHeight="1">
      <c r="A502" s="8"/>
      <c r="B502" s="9" t="str">
        <f t="shared" si="1"/>
        <v>Dec-1899</v>
      </c>
      <c r="C502" s="10"/>
      <c r="D502" s="11"/>
      <c r="E502" s="25"/>
      <c r="F502" s="21"/>
      <c r="G502" s="14"/>
      <c r="H502" s="15">
        <f t="shared" si="2"/>
        <v>0</v>
      </c>
      <c r="I502" s="16">
        <f t="shared" si="3"/>
        <v>23349.59</v>
      </c>
    </row>
    <row r="503" ht="22.5" customHeight="1">
      <c r="A503" s="8"/>
      <c r="B503" s="9" t="str">
        <f t="shared" si="1"/>
        <v>Dec-1899</v>
      </c>
      <c r="C503" s="10"/>
      <c r="D503" s="11"/>
      <c r="E503" s="25"/>
      <c r="F503" s="21"/>
      <c r="G503" s="14"/>
      <c r="H503" s="15">
        <f t="shared" si="2"/>
        <v>0</v>
      </c>
      <c r="I503" s="16">
        <f t="shared" si="3"/>
        <v>23349.59</v>
      </c>
    </row>
    <row r="504" ht="22.5" customHeight="1">
      <c r="A504" s="8"/>
      <c r="B504" s="9" t="str">
        <f t="shared" si="1"/>
        <v>Dec-1899</v>
      </c>
      <c r="C504" s="10"/>
      <c r="D504" s="11"/>
      <c r="E504" s="25"/>
      <c r="F504" s="21"/>
      <c r="G504" s="14"/>
      <c r="H504" s="15">
        <f t="shared" si="2"/>
        <v>0</v>
      </c>
      <c r="I504" s="16">
        <f t="shared" si="3"/>
        <v>23349.59</v>
      </c>
    </row>
    <row r="505" ht="22.5" customHeight="1">
      <c r="A505" s="8"/>
      <c r="B505" s="9" t="str">
        <f t="shared" si="1"/>
        <v>Dec-1899</v>
      </c>
      <c r="C505" s="10"/>
      <c r="D505" s="11"/>
      <c r="E505" s="25"/>
      <c r="F505" s="21"/>
      <c r="G505" s="14"/>
      <c r="H505" s="15">
        <f t="shared" si="2"/>
        <v>0</v>
      </c>
      <c r="I505" s="16">
        <f t="shared" si="3"/>
        <v>23349.59</v>
      </c>
    </row>
    <row r="506" ht="22.5" customHeight="1">
      <c r="A506" s="8"/>
      <c r="B506" s="9" t="str">
        <f t="shared" si="1"/>
        <v>Dec-1899</v>
      </c>
      <c r="C506" s="10"/>
      <c r="D506" s="11"/>
      <c r="E506" s="25"/>
      <c r="F506" s="21"/>
      <c r="G506" s="14"/>
      <c r="H506" s="15">
        <f t="shared" si="2"/>
        <v>0</v>
      </c>
      <c r="I506" s="16">
        <f t="shared" si="3"/>
        <v>23349.59</v>
      </c>
    </row>
    <row r="507" ht="22.5" customHeight="1">
      <c r="A507" s="8"/>
      <c r="B507" s="9" t="str">
        <f t="shared" si="1"/>
        <v>Dec-1899</v>
      </c>
      <c r="C507" s="10"/>
      <c r="D507" s="11"/>
      <c r="E507" s="25"/>
      <c r="F507" s="21"/>
      <c r="G507" s="14"/>
      <c r="H507" s="15">
        <f t="shared" si="2"/>
        <v>0</v>
      </c>
      <c r="I507" s="16">
        <f t="shared" si="3"/>
        <v>23349.59</v>
      </c>
    </row>
    <row r="508" ht="22.5" customHeight="1">
      <c r="A508" s="8"/>
      <c r="B508" s="9" t="str">
        <f t="shared" si="1"/>
        <v>Dec-1899</v>
      </c>
      <c r="C508" s="10"/>
      <c r="D508" s="11"/>
      <c r="E508" s="25"/>
      <c r="F508" s="21"/>
      <c r="G508" s="14"/>
      <c r="H508" s="15">
        <f t="shared" si="2"/>
        <v>0</v>
      </c>
      <c r="I508" s="16">
        <f t="shared" si="3"/>
        <v>23349.59</v>
      </c>
    </row>
    <row r="509" ht="22.5" customHeight="1">
      <c r="A509" s="8"/>
      <c r="B509" s="9" t="str">
        <f t="shared" si="1"/>
        <v>Dec-1899</v>
      </c>
      <c r="C509" s="10"/>
      <c r="D509" s="11"/>
      <c r="E509" s="25"/>
      <c r="F509" s="21"/>
      <c r="G509" s="14"/>
      <c r="H509" s="15">
        <f t="shared" si="2"/>
        <v>0</v>
      </c>
      <c r="I509" s="16">
        <f t="shared" si="3"/>
        <v>23349.59</v>
      </c>
    </row>
    <row r="510" ht="22.5" customHeight="1">
      <c r="A510" s="8"/>
      <c r="B510" s="9" t="str">
        <f t="shared" si="1"/>
        <v>Dec-1899</v>
      </c>
      <c r="C510" s="10"/>
      <c r="D510" s="11"/>
      <c r="E510" s="25"/>
      <c r="F510" s="21"/>
      <c r="G510" s="14"/>
      <c r="H510" s="15">
        <f t="shared" si="2"/>
        <v>0</v>
      </c>
      <c r="I510" s="16">
        <f t="shared" si="3"/>
        <v>23349.59</v>
      </c>
    </row>
    <row r="511" ht="22.5" customHeight="1">
      <c r="A511" s="8"/>
      <c r="B511" s="9" t="str">
        <f t="shared" si="1"/>
        <v>Dec-1899</v>
      </c>
      <c r="C511" s="10"/>
      <c r="D511" s="11"/>
      <c r="E511" s="25"/>
      <c r="F511" s="21"/>
      <c r="G511" s="14"/>
      <c r="H511" s="15">
        <f t="shared" si="2"/>
        <v>0</v>
      </c>
      <c r="I511" s="16">
        <f t="shared" si="3"/>
        <v>23349.59</v>
      </c>
    </row>
    <row r="512" ht="22.5" customHeight="1">
      <c r="A512" s="8"/>
      <c r="B512" s="9" t="str">
        <f t="shared" si="1"/>
        <v>Dec-1899</v>
      </c>
      <c r="C512" s="10"/>
      <c r="D512" s="11"/>
      <c r="E512" s="25"/>
      <c r="F512" s="21"/>
      <c r="G512" s="14"/>
      <c r="H512" s="15">
        <f t="shared" si="2"/>
        <v>0</v>
      </c>
      <c r="I512" s="16">
        <f t="shared" si="3"/>
        <v>23349.59</v>
      </c>
    </row>
    <row r="513" ht="22.5" customHeight="1">
      <c r="A513" s="8"/>
      <c r="B513" s="9" t="str">
        <f t="shared" si="1"/>
        <v>Dec-1899</v>
      </c>
      <c r="C513" s="10"/>
      <c r="D513" s="11"/>
      <c r="E513" s="25"/>
      <c r="F513" s="21"/>
      <c r="G513" s="14"/>
      <c r="H513" s="15">
        <f t="shared" si="2"/>
        <v>0</v>
      </c>
      <c r="I513" s="16">
        <f t="shared" si="3"/>
        <v>23349.59</v>
      </c>
    </row>
    <row r="514" ht="22.5" customHeight="1">
      <c r="A514" s="8"/>
      <c r="B514" s="9" t="str">
        <f t="shared" si="1"/>
        <v>Dec-1899</v>
      </c>
      <c r="C514" s="10"/>
      <c r="D514" s="11"/>
      <c r="E514" s="25"/>
      <c r="F514" s="21"/>
      <c r="G514" s="14"/>
      <c r="H514" s="15">
        <f t="shared" si="2"/>
        <v>0</v>
      </c>
      <c r="I514" s="16">
        <f t="shared" si="3"/>
        <v>23349.59</v>
      </c>
    </row>
    <row r="515" ht="22.5" customHeight="1">
      <c r="A515" s="8"/>
      <c r="B515" s="9" t="str">
        <f t="shared" si="1"/>
        <v>Dec-1899</v>
      </c>
      <c r="C515" s="10"/>
      <c r="D515" s="11"/>
      <c r="E515" s="25"/>
      <c r="F515" s="21"/>
      <c r="G515" s="14"/>
      <c r="H515" s="15">
        <f t="shared" si="2"/>
        <v>0</v>
      </c>
      <c r="I515" s="16">
        <f t="shared" si="3"/>
        <v>23349.59</v>
      </c>
    </row>
    <row r="516" ht="22.5" customHeight="1">
      <c r="A516" s="8"/>
      <c r="B516" s="9" t="str">
        <f t="shared" si="1"/>
        <v>Dec-1899</v>
      </c>
      <c r="C516" s="10"/>
      <c r="D516" s="11"/>
      <c r="E516" s="25"/>
      <c r="F516" s="21"/>
      <c r="G516" s="14"/>
      <c r="H516" s="15">
        <f t="shared" si="2"/>
        <v>0</v>
      </c>
      <c r="I516" s="16">
        <f t="shared" si="3"/>
        <v>23349.59</v>
      </c>
    </row>
    <row r="517" ht="22.5" customHeight="1">
      <c r="A517" s="8"/>
      <c r="B517" s="9" t="str">
        <f t="shared" si="1"/>
        <v>Dec-1899</v>
      </c>
      <c r="C517" s="10"/>
      <c r="D517" s="11"/>
      <c r="E517" s="25"/>
      <c r="F517" s="21"/>
      <c r="G517" s="14"/>
      <c r="H517" s="15">
        <f t="shared" si="2"/>
        <v>0</v>
      </c>
      <c r="I517" s="16">
        <f t="shared" si="3"/>
        <v>23349.59</v>
      </c>
    </row>
    <row r="518" ht="22.5" customHeight="1">
      <c r="A518" s="8"/>
      <c r="B518" s="9" t="str">
        <f t="shared" si="1"/>
        <v>Dec-1899</v>
      </c>
      <c r="C518" s="10"/>
      <c r="D518" s="11"/>
      <c r="E518" s="25"/>
      <c r="F518" s="21"/>
      <c r="G518" s="14"/>
      <c r="H518" s="15">
        <f t="shared" si="2"/>
        <v>0</v>
      </c>
      <c r="I518" s="16">
        <f t="shared" si="3"/>
        <v>23349.59</v>
      </c>
    </row>
    <row r="519" ht="22.5" customHeight="1">
      <c r="A519" s="8"/>
      <c r="B519" s="9" t="str">
        <f t="shared" si="1"/>
        <v>Dec-1899</v>
      </c>
      <c r="C519" s="10"/>
      <c r="D519" s="11"/>
      <c r="E519" s="25"/>
      <c r="F519" s="21"/>
      <c r="G519" s="14"/>
      <c r="H519" s="15">
        <f t="shared" si="2"/>
        <v>0</v>
      </c>
      <c r="I519" s="16">
        <f t="shared" si="3"/>
        <v>23349.59</v>
      </c>
    </row>
    <row r="520" ht="22.5" customHeight="1">
      <c r="A520" s="8"/>
      <c r="B520" s="9" t="str">
        <f t="shared" si="1"/>
        <v>Dec-1899</v>
      </c>
      <c r="C520" s="10"/>
      <c r="D520" s="11"/>
      <c r="E520" s="25"/>
      <c r="F520" s="21"/>
      <c r="G520" s="14"/>
      <c r="H520" s="15">
        <f t="shared" si="2"/>
        <v>0</v>
      </c>
      <c r="I520" s="16">
        <f t="shared" si="3"/>
        <v>23349.59</v>
      </c>
    </row>
    <row r="521" ht="22.5" customHeight="1">
      <c r="A521" s="8"/>
      <c r="B521" s="9" t="str">
        <f t="shared" si="1"/>
        <v>Dec-1899</v>
      </c>
      <c r="C521" s="10"/>
      <c r="D521" s="11"/>
      <c r="E521" s="25"/>
      <c r="F521" s="21"/>
      <c r="G521" s="14"/>
      <c r="H521" s="15">
        <f t="shared" si="2"/>
        <v>0</v>
      </c>
      <c r="I521" s="16">
        <f t="shared" si="3"/>
        <v>23349.59</v>
      </c>
    </row>
    <row r="522" ht="22.5" customHeight="1">
      <c r="A522" s="8"/>
      <c r="B522" s="9" t="str">
        <f t="shared" si="1"/>
        <v>Dec-1899</v>
      </c>
      <c r="C522" s="10"/>
      <c r="D522" s="11"/>
      <c r="E522" s="25"/>
      <c r="F522" s="21"/>
      <c r="G522" s="14"/>
      <c r="H522" s="15">
        <f t="shared" si="2"/>
        <v>0</v>
      </c>
      <c r="I522" s="16">
        <f t="shared" si="3"/>
        <v>23349.59</v>
      </c>
    </row>
    <row r="523" ht="22.5" customHeight="1">
      <c r="A523" s="8"/>
      <c r="B523" s="9" t="str">
        <f t="shared" si="1"/>
        <v>Dec-1899</v>
      </c>
      <c r="C523" s="10"/>
      <c r="D523" s="11"/>
      <c r="E523" s="25"/>
      <c r="F523" s="21"/>
      <c r="G523" s="14"/>
      <c r="H523" s="15">
        <f t="shared" si="2"/>
        <v>0</v>
      </c>
      <c r="I523" s="16">
        <f t="shared" si="3"/>
        <v>23349.59</v>
      </c>
    </row>
    <row r="524" ht="22.5" customHeight="1">
      <c r="A524" s="8"/>
      <c r="B524" s="9" t="str">
        <f t="shared" si="1"/>
        <v>Dec-1899</v>
      </c>
      <c r="C524" s="10"/>
      <c r="D524" s="11"/>
      <c r="E524" s="25"/>
      <c r="F524" s="21"/>
      <c r="G524" s="14"/>
      <c r="H524" s="15">
        <f t="shared" si="2"/>
        <v>0</v>
      </c>
      <c r="I524" s="16">
        <f t="shared" si="3"/>
        <v>23349.59</v>
      </c>
    </row>
    <row r="525" ht="22.5" customHeight="1">
      <c r="A525" s="8"/>
      <c r="B525" s="9" t="str">
        <f t="shared" si="1"/>
        <v>Dec-1899</v>
      </c>
      <c r="C525" s="10"/>
      <c r="D525" s="11"/>
      <c r="E525" s="25"/>
      <c r="F525" s="21"/>
      <c r="G525" s="14"/>
      <c r="H525" s="15">
        <f t="shared" si="2"/>
        <v>0</v>
      </c>
      <c r="I525" s="16">
        <f t="shared" si="3"/>
        <v>23349.59</v>
      </c>
    </row>
    <row r="526" ht="22.5" customHeight="1">
      <c r="A526" s="8"/>
      <c r="B526" s="9" t="str">
        <f t="shared" si="1"/>
        <v>Dec-1899</v>
      </c>
      <c r="C526" s="10"/>
      <c r="D526" s="11"/>
      <c r="E526" s="25"/>
      <c r="F526" s="21"/>
      <c r="G526" s="14"/>
      <c r="H526" s="15">
        <f t="shared" si="2"/>
        <v>0</v>
      </c>
      <c r="I526" s="16">
        <f t="shared" si="3"/>
        <v>23349.59</v>
      </c>
    </row>
    <row r="527" ht="22.5" customHeight="1">
      <c r="A527" s="8"/>
      <c r="B527" s="9" t="str">
        <f t="shared" si="1"/>
        <v>Dec-1899</v>
      </c>
      <c r="C527" s="10"/>
      <c r="D527" s="11"/>
      <c r="E527" s="25"/>
      <c r="F527" s="21"/>
      <c r="G527" s="14"/>
      <c r="H527" s="15">
        <f t="shared" si="2"/>
        <v>0</v>
      </c>
      <c r="I527" s="16">
        <f t="shared" si="3"/>
        <v>23349.59</v>
      </c>
    </row>
    <row r="528" ht="22.5" customHeight="1">
      <c r="A528" s="8"/>
      <c r="B528" s="9" t="str">
        <f t="shared" si="1"/>
        <v>Dec-1899</v>
      </c>
      <c r="C528" s="10"/>
      <c r="D528" s="11"/>
      <c r="E528" s="25"/>
      <c r="F528" s="21"/>
      <c r="G528" s="14"/>
      <c r="H528" s="15">
        <f t="shared" si="2"/>
        <v>0</v>
      </c>
      <c r="I528" s="16">
        <f t="shared" si="3"/>
        <v>23349.59</v>
      </c>
    </row>
    <row r="529" ht="22.5" customHeight="1">
      <c r="A529" s="8"/>
      <c r="B529" s="9" t="str">
        <f t="shared" si="1"/>
        <v>Dec-1899</v>
      </c>
      <c r="C529" s="10"/>
      <c r="D529" s="11"/>
      <c r="E529" s="25"/>
      <c r="F529" s="21"/>
      <c r="G529" s="14"/>
      <c r="H529" s="15">
        <f t="shared" si="2"/>
        <v>0</v>
      </c>
      <c r="I529" s="16">
        <f t="shared" si="3"/>
        <v>23349.59</v>
      </c>
    </row>
    <row r="530" ht="22.5" customHeight="1">
      <c r="A530" s="8"/>
      <c r="B530" s="9" t="str">
        <f t="shared" si="1"/>
        <v>Dec-1899</v>
      </c>
      <c r="C530" s="10"/>
      <c r="D530" s="11"/>
      <c r="E530" s="25"/>
      <c r="F530" s="21"/>
      <c r="G530" s="14"/>
      <c r="H530" s="15">
        <f t="shared" si="2"/>
        <v>0</v>
      </c>
      <c r="I530" s="16">
        <f t="shared" si="3"/>
        <v>23349.59</v>
      </c>
    </row>
    <row r="531" ht="22.5" customHeight="1">
      <c r="A531" s="8"/>
      <c r="B531" s="9" t="str">
        <f t="shared" si="1"/>
        <v>Dec-1899</v>
      </c>
      <c r="C531" s="10"/>
      <c r="D531" s="11"/>
      <c r="E531" s="25"/>
      <c r="F531" s="21"/>
      <c r="G531" s="14"/>
      <c r="H531" s="15">
        <f t="shared" si="2"/>
        <v>0</v>
      </c>
      <c r="I531" s="16">
        <f t="shared" si="3"/>
        <v>23349.59</v>
      </c>
    </row>
    <row r="532" ht="22.5" customHeight="1">
      <c r="A532" s="8"/>
      <c r="B532" s="9" t="str">
        <f t="shared" si="1"/>
        <v>Dec-1899</v>
      </c>
      <c r="C532" s="10"/>
      <c r="D532" s="11"/>
      <c r="E532" s="25"/>
      <c r="F532" s="21"/>
      <c r="G532" s="14"/>
      <c r="H532" s="15">
        <f t="shared" si="2"/>
        <v>0</v>
      </c>
      <c r="I532" s="16">
        <f t="shared" si="3"/>
        <v>23349.59</v>
      </c>
    </row>
    <row r="533" ht="22.5" customHeight="1">
      <c r="A533" s="8"/>
      <c r="B533" s="9" t="str">
        <f t="shared" si="1"/>
        <v>Dec-1899</v>
      </c>
      <c r="C533" s="10"/>
      <c r="D533" s="11"/>
      <c r="E533" s="25"/>
      <c r="F533" s="21"/>
      <c r="G533" s="14"/>
      <c r="H533" s="15">
        <f t="shared" si="2"/>
        <v>0</v>
      </c>
      <c r="I533" s="16">
        <f t="shared" si="3"/>
        <v>23349.59</v>
      </c>
    </row>
    <row r="534" ht="22.5" customHeight="1">
      <c r="A534" s="8"/>
      <c r="B534" s="9" t="str">
        <f t="shared" si="1"/>
        <v>Dec-1899</v>
      </c>
      <c r="C534" s="10"/>
      <c r="D534" s="11"/>
      <c r="E534" s="25"/>
      <c r="F534" s="21"/>
      <c r="G534" s="14"/>
      <c r="H534" s="15">
        <f t="shared" si="2"/>
        <v>0</v>
      </c>
      <c r="I534" s="16">
        <f t="shared" si="3"/>
        <v>23349.59</v>
      </c>
    </row>
    <row r="535" ht="22.5" customHeight="1">
      <c r="A535" s="8"/>
      <c r="B535" s="9" t="str">
        <f t="shared" si="1"/>
        <v>Dec-1899</v>
      </c>
      <c r="C535" s="10"/>
      <c r="D535" s="11"/>
      <c r="E535" s="25"/>
      <c r="F535" s="21"/>
      <c r="G535" s="14"/>
      <c r="H535" s="15">
        <f t="shared" si="2"/>
        <v>0</v>
      </c>
      <c r="I535" s="16">
        <f t="shared" si="3"/>
        <v>23349.59</v>
      </c>
    </row>
    <row r="536" ht="22.5" customHeight="1">
      <c r="A536" s="8"/>
      <c r="B536" s="9" t="str">
        <f t="shared" si="1"/>
        <v>Dec-1899</v>
      </c>
      <c r="C536" s="10"/>
      <c r="D536" s="11"/>
      <c r="E536" s="25"/>
      <c r="F536" s="21"/>
      <c r="G536" s="14"/>
      <c r="H536" s="15">
        <f t="shared" si="2"/>
        <v>0</v>
      </c>
      <c r="I536" s="16">
        <f t="shared" si="3"/>
        <v>23349.59</v>
      </c>
    </row>
    <row r="537" ht="22.5" customHeight="1">
      <c r="A537" s="8"/>
      <c r="B537" s="9" t="str">
        <f t="shared" si="1"/>
        <v>Dec-1899</v>
      </c>
      <c r="C537" s="10"/>
      <c r="D537" s="11"/>
      <c r="E537" s="25"/>
      <c r="F537" s="21"/>
      <c r="G537" s="14"/>
      <c r="H537" s="15">
        <f t="shared" si="2"/>
        <v>0</v>
      </c>
      <c r="I537" s="16">
        <f t="shared" si="3"/>
        <v>23349.59</v>
      </c>
    </row>
    <row r="538" ht="22.5" customHeight="1">
      <c r="A538" s="8"/>
      <c r="B538" s="9" t="str">
        <f t="shared" si="1"/>
        <v>Dec-1899</v>
      </c>
      <c r="C538" s="10"/>
      <c r="D538" s="11"/>
      <c r="E538" s="25"/>
      <c r="F538" s="21"/>
      <c r="G538" s="14"/>
      <c r="H538" s="15">
        <f t="shared" si="2"/>
        <v>0</v>
      </c>
      <c r="I538" s="16">
        <f t="shared" si="3"/>
        <v>23349.59</v>
      </c>
    </row>
    <row r="539" ht="22.5" customHeight="1">
      <c r="A539" s="8"/>
      <c r="B539" s="9" t="str">
        <f t="shared" si="1"/>
        <v>Dec-1899</v>
      </c>
      <c r="C539" s="10"/>
      <c r="D539" s="11"/>
      <c r="E539" s="25"/>
      <c r="F539" s="21"/>
      <c r="G539" s="14"/>
      <c r="H539" s="15">
        <f t="shared" si="2"/>
        <v>0</v>
      </c>
      <c r="I539" s="16">
        <f t="shared" si="3"/>
        <v>23349.59</v>
      </c>
    </row>
    <row r="540" ht="22.5" customHeight="1">
      <c r="A540" s="8"/>
      <c r="B540" s="9" t="str">
        <f t="shared" si="1"/>
        <v>Dec-1899</v>
      </c>
      <c r="C540" s="10"/>
      <c r="D540" s="11"/>
      <c r="E540" s="25"/>
      <c r="F540" s="21"/>
      <c r="G540" s="14"/>
      <c r="H540" s="15">
        <f t="shared" si="2"/>
        <v>0</v>
      </c>
      <c r="I540" s="16">
        <f t="shared" si="3"/>
        <v>23349.59</v>
      </c>
    </row>
    <row r="541" ht="22.5" customHeight="1">
      <c r="A541" s="8"/>
      <c r="B541" s="9" t="str">
        <f t="shared" si="1"/>
        <v>Dec-1899</v>
      </c>
      <c r="C541" s="10"/>
      <c r="D541" s="11"/>
      <c r="E541" s="25"/>
      <c r="F541" s="21"/>
      <c r="G541" s="14"/>
      <c r="H541" s="15">
        <f t="shared" si="2"/>
        <v>0</v>
      </c>
      <c r="I541" s="16">
        <f t="shared" si="3"/>
        <v>23349.59</v>
      </c>
    </row>
    <row r="542" ht="22.5" customHeight="1">
      <c r="A542" s="8"/>
      <c r="B542" s="9" t="str">
        <f t="shared" si="1"/>
        <v>Dec-1899</v>
      </c>
      <c r="C542" s="10"/>
      <c r="D542" s="11"/>
      <c r="E542" s="25"/>
      <c r="F542" s="21"/>
      <c r="G542" s="14"/>
      <c r="H542" s="15">
        <f t="shared" si="2"/>
        <v>0</v>
      </c>
      <c r="I542" s="16">
        <f t="shared" si="3"/>
        <v>23349.59</v>
      </c>
    </row>
    <row r="543" ht="22.5" customHeight="1">
      <c r="A543" s="8"/>
      <c r="B543" s="9" t="str">
        <f t="shared" si="1"/>
        <v>Dec-1899</v>
      </c>
      <c r="C543" s="10"/>
      <c r="D543" s="11"/>
      <c r="E543" s="25"/>
      <c r="F543" s="21"/>
      <c r="G543" s="14"/>
      <c r="H543" s="15">
        <f t="shared" si="2"/>
        <v>0</v>
      </c>
      <c r="I543" s="16">
        <f t="shared" si="3"/>
        <v>23349.59</v>
      </c>
    </row>
    <row r="544" ht="22.5" customHeight="1">
      <c r="A544" s="8"/>
      <c r="B544" s="9" t="str">
        <f t="shared" si="1"/>
        <v>Dec-1899</v>
      </c>
      <c r="C544" s="10"/>
      <c r="D544" s="11"/>
      <c r="E544" s="25"/>
      <c r="F544" s="21"/>
      <c r="G544" s="14"/>
      <c r="H544" s="15">
        <f t="shared" si="2"/>
        <v>0</v>
      </c>
      <c r="I544" s="16">
        <f t="shared" si="3"/>
        <v>23349.59</v>
      </c>
    </row>
    <row r="545" ht="22.5" customHeight="1">
      <c r="A545" s="8"/>
      <c r="B545" s="9" t="str">
        <f t="shared" si="1"/>
        <v>Dec-1899</v>
      </c>
      <c r="C545" s="10"/>
      <c r="D545" s="11"/>
      <c r="E545" s="25"/>
      <c r="F545" s="21"/>
      <c r="G545" s="14"/>
      <c r="H545" s="15">
        <f t="shared" si="2"/>
        <v>0</v>
      </c>
      <c r="I545" s="16">
        <f t="shared" si="3"/>
        <v>23349.59</v>
      </c>
    </row>
    <row r="546" ht="22.5" customHeight="1">
      <c r="A546" s="8"/>
      <c r="B546" s="9" t="str">
        <f t="shared" si="1"/>
        <v>Dec-1899</v>
      </c>
      <c r="C546" s="10"/>
      <c r="D546" s="11"/>
      <c r="E546" s="25"/>
      <c r="F546" s="21"/>
      <c r="G546" s="14"/>
      <c r="H546" s="15">
        <f t="shared" si="2"/>
        <v>0</v>
      </c>
      <c r="I546" s="16">
        <f t="shared" si="3"/>
        <v>23349.59</v>
      </c>
    </row>
    <row r="547" ht="22.5" customHeight="1">
      <c r="A547" s="8"/>
      <c r="B547" s="9" t="str">
        <f t="shared" si="1"/>
        <v>Dec-1899</v>
      </c>
      <c r="C547" s="10"/>
      <c r="D547" s="11"/>
      <c r="E547" s="25"/>
      <c r="F547" s="21"/>
      <c r="G547" s="14"/>
      <c r="H547" s="15">
        <f t="shared" si="2"/>
        <v>0</v>
      </c>
      <c r="I547" s="16">
        <f t="shared" si="3"/>
        <v>23349.59</v>
      </c>
    </row>
    <row r="548" ht="22.5" customHeight="1">
      <c r="A548" s="8"/>
      <c r="B548" s="9" t="str">
        <f t="shared" si="1"/>
        <v>Dec-1899</v>
      </c>
      <c r="C548" s="10"/>
      <c r="D548" s="11"/>
      <c r="E548" s="25"/>
      <c r="F548" s="21"/>
      <c r="G548" s="14"/>
      <c r="H548" s="15">
        <f t="shared" si="2"/>
        <v>0</v>
      </c>
      <c r="I548" s="16">
        <f t="shared" si="3"/>
        <v>23349.59</v>
      </c>
    </row>
    <row r="549" ht="22.5" customHeight="1">
      <c r="A549" s="8"/>
      <c r="B549" s="9" t="str">
        <f t="shared" si="1"/>
        <v>Dec-1899</v>
      </c>
      <c r="C549" s="10"/>
      <c r="D549" s="11"/>
      <c r="E549" s="25"/>
      <c r="F549" s="21"/>
      <c r="G549" s="14"/>
      <c r="H549" s="15">
        <f t="shared" si="2"/>
        <v>0</v>
      </c>
      <c r="I549" s="16">
        <f t="shared" si="3"/>
        <v>23349.59</v>
      </c>
    </row>
    <row r="550" ht="22.5" customHeight="1">
      <c r="A550" s="8"/>
      <c r="B550" s="9" t="str">
        <f t="shared" si="1"/>
        <v>Dec-1899</v>
      </c>
      <c r="C550" s="10"/>
      <c r="D550" s="11"/>
      <c r="E550" s="25"/>
      <c r="F550" s="21"/>
      <c r="G550" s="14"/>
      <c r="H550" s="15">
        <f t="shared" si="2"/>
        <v>0</v>
      </c>
      <c r="I550" s="16">
        <f t="shared" si="3"/>
        <v>23349.59</v>
      </c>
    </row>
    <row r="551" ht="22.5" customHeight="1">
      <c r="A551" s="8"/>
      <c r="B551" s="9" t="str">
        <f t="shared" si="1"/>
        <v>Dec-1899</v>
      </c>
      <c r="C551" s="10"/>
      <c r="D551" s="11"/>
      <c r="E551" s="25"/>
      <c r="F551" s="21"/>
      <c r="G551" s="14"/>
      <c r="H551" s="15">
        <f t="shared" si="2"/>
        <v>0</v>
      </c>
      <c r="I551" s="16">
        <f t="shared" si="3"/>
        <v>23349.59</v>
      </c>
    </row>
    <row r="552" ht="22.5" customHeight="1">
      <c r="A552" s="8"/>
      <c r="B552" s="9" t="str">
        <f t="shared" si="1"/>
        <v>Dec-1899</v>
      </c>
      <c r="C552" s="10"/>
      <c r="D552" s="11"/>
      <c r="E552" s="25"/>
      <c r="F552" s="21"/>
      <c r="G552" s="14"/>
      <c r="H552" s="15">
        <f t="shared" si="2"/>
        <v>0</v>
      </c>
      <c r="I552" s="16">
        <f t="shared" si="3"/>
        <v>23349.59</v>
      </c>
    </row>
    <row r="553" ht="22.5" customHeight="1">
      <c r="A553" s="8"/>
      <c r="B553" s="9" t="str">
        <f t="shared" si="1"/>
        <v>Dec-1899</v>
      </c>
      <c r="C553" s="10"/>
      <c r="D553" s="11"/>
      <c r="E553" s="25"/>
      <c r="F553" s="21"/>
      <c r="G553" s="14"/>
      <c r="H553" s="15">
        <f t="shared" si="2"/>
        <v>0</v>
      </c>
      <c r="I553" s="16">
        <f t="shared" si="3"/>
        <v>23349.59</v>
      </c>
    </row>
    <row r="554" ht="22.5" customHeight="1">
      <c r="A554" s="8"/>
      <c r="B554" s="9" t="str">
        <f t="shared" si="1"/>
        <v>Dec-1899</v>
      </c>
      <c r="C554" s="10"/>
      <c r="D554" s="11"/>
      <c r="E554" s="25"/>
      <c r="F554" s="21"/>
      <c r="G554" s="14"/>
      <c r="H554" s="15">
        <f t="shared" si="2"/>
        <v>0</v>
      </c>
      <c r="I554" s="16">
        <f t="shared" si="3"/>
        <v>23349.59</v>
      </c>
    </row>
    <row r="555" ht="22.5" customHeight="1">
      <c r="A555" s="8"/>
      <c r="B555" s="9" t="str">
        <f t="shared" si="1"/>
        <v>Dec-1899</v>
      </c>
      <c r="C555" s="10"/>
      <c r="D555" s="11"/>
      <c r="E555" s="25"/>
      <c r="F555" s="21"/>
      <c r="G555" s="14"/>
      <c r="H555" s="15">
        <f t="shared" si="2"/>
        <v>0</v>
      </c>
      <c r="I555" s="16">
        <f t="shared" si="3"/>
        <v>23349.59</v>
      </c>
    </row>
    <row r="556" ht="22.5" customHeight="1">
      <c r="A556" s="8"/>
      <c r="B556" s="9" t="str">
        <f t="shared" si="1"/>
        <v>Dec-1899</v>
      </c>
      <c r="C556" s="10"/>
      <c r="D556" s="11"/>
      <c r="E556" s="25"/>
      <c r="F556" s="21"/>
      <c r="G556" s="14"/>
      <c r="H556" s="15">
        <f t="shared" si="2"/>
        <v>0</v>
      </c>
      <c r="I556" s="16">
        <f t="shared" si="3"/>
        <v>23349.59</v>
      </c>
    </row>
    <row r="557" ht="22.5" customHeight="1">
      <c r="A557" s="8"/>
      <c r="B557" s="9" t="str">
        <f t="shared" si="1"/>
        <v>Dec-1899</v>
      </c>
      <c r="C557" s="10"/>
      <c r="D557" s="11"/>
      <c r="E557" s="25"/>
      <c r="F557" s="21"/>
      <c r="G557" s="14"/>
      <c r="H557" s="15">
        <f t="shared" si="2"/>
        <v>0</v>
      </c>
      <c r="I557" s="16">
        <f t="shared" si="3"/>
        <v>23349.59</v>
      </c>
    </row>
    <row r="558" ht="22.5" customHeight="1">
      <c r="A558" s="8"/>
      <c r="B558" s="9" t="str">
        <f t="shared" si="1"/>
        <v>Dec-1899</v>
      </c>
      <c r="C558" s="10"/>
      <c r="D558" s="11"/>
      <c r="E558" s="25"/>
      <c r="F558" s="21"/>
      <c r="G558" s="14"/>
      <c r="H558" s="15">
        <f t="shared" si="2"/>
        <v>0</v>
      </c>
      <c r="I558" s="16">
        <f t="shared" si="3"/>
        <v>23349.59</v>
      </c>
    </row>
    <row r="559" ht="22.5" customHeight="1">
      <c r="A559" s="8"/>
      <c r="B559" s="9" t="str">
        <f t="shared" si="1"/>
        <v>Dec-1899</v>
      </c>
      <c r="C559" s="10"/>
      <c r="D559" s="11"/>
      <c r="E559" s="25"/>
      <c r="F559" s="21"/>
      <c r="G559" s="14"/>
      <c r="H559" s="15">
        <f t="shared" si="2"/>
        <v>0</v>
      </c>
      <c r="I559" s="16">
        <f t="shared" si="3"/>
        <v>23349.59</v>
      </c>
    </row>
    <row r="560" ht="22.5" customHeight="1">
      <c r="A560" s="8"/>
      <c r="B560" s="9" t="str">
        <f t="shared" si="1"/>
        <v>Dec-1899</v>
      </c>
      <c r="C560" s="10"/>
      <c r="D560" s="11"/>
      <c r="E560" s="25"/>
      <c r="F560" s="21"/>
      <c r="G560" s="14"/>
      <c r="H560" s="15">
        <f t="shared" si="2"/>
        <v>0</v>
      </c>
      <c r="I560" s="16">
        <f t="shared" si="3"/>
        <v>23349.59</v>
      </c>
    </row>
    <row r="561" ht="22.5" customHeight="1">
      <c r="A561" s="8"/>
      <c r="B561" s="9" t="str">
        <f t="shared" si="1"/>
        <v>Dec-1899</v>
      </c>
      <c r="C561" s="10"/>
      <c r="D561" s="11"/>
      <c r="E561" s="25"/>
      <c r="F561" s="21"/>
      <c r="G561" s="14"/>
      <c r="H561" s="15">
        <f t="shared" si="2"/>
        <v>0</v>
      </c>
      <c r="I561" s="16">
        <f t="shared" si="3"/>
        <v>23349.59</v>
      </c>
    </row>
    <row r="562" ht="22.5" customHeight="1">
      <c r="A562" s="8"/>
      <c r="B562" s="9" t="str">
        <f t="shared" si="1"/>
        <v>Dec-1899</v>
      </c>
      <c r="C562" s="10"/>
      <c r="D562" s="11"/>
      <c r="E562" s="25"/>
      <c r="F562" s="21"/>
      <c r="G562" s="14"/>
      <c r="H562" s="15">
        <f t="shared" si="2"/>
        <v>0</v>
      </c>
      <c r="I562" s="16">
        <f t="shared" si="3"/>
        <v>23349.59</v>
      </c>
    </row>
    <row r="563" ht="22.5" customHeight="1">
      <c r="A563" s="8"/>
      <c r="B563" s="9" t="str">
        <f t="shared" si="1"/>
        <v>Dec-1899</v>
      </c>
      <c r="C563" s="10"/>
      <c r="D563" s="11"/>
      <c r="E563" s="25"/>
      <c r="F563" s="21"/>
      <c r="G563" s="14"/>
      <c r="H563" s="15">
        <f t="shared" si="2"/>
        <v>0</v>
      </c>
      <c r="I563" s="16">
        <f t="shared" si="3"/>
        <v>23349.59</v>
      </c>
    </row>
    <row r="564" ht="22.5" customHeight="1">
      <c r="A564" s="8"/>
      <c r="B564" s="9" t="str">
        <f t="shared" si="1"/>
        <v>Dec-1899</v>
      </c>
      <c r="C564" s="10"/>
      <c r="D564" s="11"/>
      <c r="E564" s="25"/>
      <c r="F564" s="21"/>
      <c r="G564" s="14"/>
      <c r="H564" s="15">
        <f t="shared" si="2"/>
        <v>0</v>
      </c>
      <c r="I564" s="16">
        <f t="shared" si="3"/>
        <v>23349.59</v>
      </c>
    </row>
    <row r="565" ht="22.5" customHeight="1">
      <c r="A565" s="8"/>
      <c r="B565" s="9" t="str">
        <f t="shared" si="1"/>
        <v>Dec-1899</v>
      </c>
      <c r="C565" s="10"/>
      <c r="D565" s="11"/>
      <c r="E565" s="25"/>
      <c r="F565" s="21"/>
      <c r="G565" s="14"/>
      <c r="H565" s="15">
        <f t="shared" si="2"/>
        <v>0</v>
      </c>
      <c r="I565" s="16">
        <f t="shared" si="3"/>
        <v>23349.59</v>
      </c>
    </row>
    <row r="566" ht="22.5" customHeight="1">
      <c r="A566" s="8"/>
      <c r="B566" s="9" t="str">
        <f t="shared" si="1"/>
        <v>Dec-1899</v>
      </c>
      <c r="C566" s="10"/>
      <c r="D566" s="11"/>
      <c r="E566" s="25"/>
      <c r="F566" s="21"/>
      <c r="G566" s="14"/>
      <c r="H566" s="15">
        <f t="shared" si="2"/>
        <v>0</v>
      </c>
      <c r="I566" s="16">
        <f t="shared" si="3"/>
        <v>23349.59</v>
      </c>
    </row>
    <row r="567" ht="22.5" customHeight="1">
      <c r="A567" s="8"/>
      <c r="B567" s="9" t="str">
        <f t="shared" si="1"/>
        <v>Dec-1899</v>
      </c>
      <c r="C567" s="10"/>
      <c r="D567" s="11"/>
      <c r="E567" s="25"/>
      <c r="F567" s="21"/>
      <c r="G567" s="14"/>
      <c r="H567" s="15">
        <f t="shared" si="2"/>
        <v>0</v>
      </c>
      <c r="I567" s="16">
        <f t="shared" si="3"/>
        <v>23349.59</v>
      </c>
    </row>
    <row r="568" ht="22.5" customHeight="1">
      <c r="A568" s="8"/>
      <c r="B568" s="9" t="str">
        <f t="shared" si="1"/>
        <v>Dec-1899</v>
      </c>
      <c r="C568" s="10"/>
      <c r="D568" s="11"/>
      <c r="E568" s="25"/>
      <c r="F568" s="21"/>
      <c r="G568" s="14"/>
      <c r="H568" s="15">
        <f t="shared" si="2"/>
        <v>0</v>
      </c>
      <c r="I568" s="16">
        <f t="shared" si="3"/>
        <v>23349.59</v>
      </c>
    </row>
    <row r="569" ht="22.5" customHeight="1">
      <c r="A569" s="8"/>
      <c r="B569" s="9" t="str">
        <f t="shared" si="1"/>
        <v>Dec-1899</v>
      </c>
      <c r="C569" s="10"/>
      <c r="D569" s="11"/>
      <c r="E569" s="25"/>
      <c r="F569" s="21"/>
      <c r="G569" s="14"/>
      <c r="H569" s="15">
        <f t="shared" si="2"/>
        <v>0</v>
      </c>
      <c r="I569" s="16">
        <f t="shared" si="3"/>
        <v>23349.59</v>
      </c>
    </row>
    <row r="570" ht="22.5" customHeight="1">
      <c r="A570" s="8"/>
      <c r="B570" s="9" t="str">
        <f t="shared" si="1"/>
        <v>Dec-1899</v>
      </c>
      <c r="C570" s="10"/>
      <c r="D570" s="11"/>
      <c r="E570" s="25"/>
      <c r="F570" s="21"/>
      <c r="G570" s="14"/>
      <c r="H570" s="15">
        <f t="shared" si="2"/>
        <v>0</v>
      </c>
      <c r="I570" s="16">
        <f t="shared" si="3"/>
        <v>23349.59</v>
      </c>
    </row>
    <row r="571" ht="22.5" customHeight="1">
      <c r="A571" s="8"/>
      <c r="B571" s="9" t="str">
        <f t="shared" si="1"/>
        <v>Dec-1899</v>
      </c>
      <c r="C571" s="10"/>
      <c r="D571" s="11"/>
      <c r="E571" s="25"/>
      <c r="F571" s="21"/>
      <c r="G571" s="14"/>
      <c r="H571" s="15">
        <f t="shared" si="2"/>
        <v>0</v>
      </c>
      <c r="I571" s="16">
        <f t="shared" si="3"/>
        <v>23349.59</v>
      </c>
    </row>
    <row r="572" ht="22.5" customHeight="1">
      <c r="A572" s="8"/>
      <c r="B572" s="9" t="str">
        <f t="shared" si="1"/>
        <v>Dec-1899</v>
      </c>
      <c r="C572" s="10"/>
      <c r="D572" s="11"/>
      <c r="E572" s="25"/>
      <c r="F572" s="21"/>
      <c r="G572" s="14"/>
      <c r="H572" s="15">
        <f t="shared" si="2"/>
        <v>0</v>
      </c>
      <c r="I572" s="16">
        <f t="shared" si="3"/>
        <v>23349.59</v>
      </c>
    </row>
    <row r="573" ht="22.5" customHeight="1">
      <c r="A573" s="8"/>
      <c r="B573" s="9" t="str">
        <f t="shared" si="1"/>
        <v>Dec-1899</v>
      </c>
      <c r="C573" s="10"/>
      <c r="D573" s="11"/>
      <c r="E573" s="25"/>
      <c r="F573" s="21"/>
      <c r="G573" s="14"/>
      <c r="H573" s="15">
        <f t="shared" si="2"/>
        <v>0</v>
      </c>
      <c r="I573" s="16">
        <f t="shared" si="3"/>
        <v>23349.59</v>
      </c>
    </row>
    <row r="574" ht="22.5" customHeight="1">
      <c r="A574" s="8"/>
      <c r="B574" s="9" t="str">
        <f t="shared" si="1"/>
        <v>Dec-1899</v>
      </c>
      <c r="C574" s="10"/>
      <c r="D574" s="11"/>
      <c r="E574" s="25"/>
      <c r="F574" s="21"/>
      <c r="G574" s="14"/>
      <c r="H574" s="15">
        <f t="shared" si="2"/>
        <v>0</v>
      </c>
      <c r="I574" s="16">
        <f t="shared" si="3"/>
        <v>23349.59</v>
      </c>
    </row>
    <row r="575" ht="22.5" customHeight="1">
      <c r="A575" s="8"/>
      <c r="B575" s="9" t="str">
        <f t="shared" si="1"/>
        <v>Dec-1899</v>
      </c>
      <c r="C575" s="10"/>
      <c r="D575" s="11"/>
      <c r="E575" s="25"/>
      <c r="F575" s="21"/>
      <c r="G575" s="14"/>
      <c r="H575" s="15">
        <f t="shared" si="2"/>
        <v>0</v>
      </c>
      <c r="I575" s="16">
        <f t="shared" si="3"/>
        <v>23349.59</v>
      </c>
    </row>
    <row r="576" ht="22.5" customHeight="1">
      <c r="A576" s="8"/>
      <c r="B576" s="9" t="str">
        <f t="shared" si="1"/>
        <v>Dec-1899</v>
      </c>
      <c r="C576" s="10"/>
      <c r="D576" s="11"/>
      <c r="E576" s="25"/>
      <c r="F576" s="21"/>
      <c r="G576" s="14"/>
      <c r="H576" s="15">
        <f t="shared" si="2"/>
        <v>0</v>
      </c>
      <c r="I576" s="16">
        <f t="shared" si="3"/>
        <v>23349.59</v>
      </c>
    </row>
    <row r="577" ht="22.5" customHeight="1">
      <c r="A577" s="8"/>
      <c r="B577" s="9" t="str">
        <f t="shared" si="1"/>
        <v>Dec-1899</v>
      </c>
      <c r="C577" s="10"/>
      <c r="D577" s="11"/>
      <c r="E577" s="25"/>
      <c r="F577" s="21"/>
      <c r="G577" s="14"/>
      <c r="H577" s="15">
        <f t="shared" si="2"/>
        <v>0</v>
      </c>
      <c r="I577" s="16">
        <f t="shared" si="3"/>
        <v>23349.59</v>
      </c>
    </row>
    <row r="578" ht="22.5" customHeight="1">
      <c r="A578" s="8"/>
      <c r="B578" s="9" t="str">
        <f t="shared" si="1"/>
        <v>Dec-1899</v>
      </c>
      <c r="C578" s="10"/>
      <c r="D578" s="11"/>
      <c r="E578" s="25"/>
      <c r="F578" s="21"/>
      <c r="G578" s="14"/>
      <c r="H578" s="15">
        <f t="shared" si="2"/>
        <v>0</v>
      </c>
      <c r="I578" s="16">
        <f t="shared" si="3"/>
        <v>23349.59</v>
      </c>
    </row>
    <row r="579" ht="22.5" customHeight="1">
      <c r="A579" s="8"/>
      <c r="B579" s="9" t="str">
        <f t="shared" si="1"/>
        <v>Dec-1899</v>
      </c>
      <c r="C579" s="10"/>
      <c r="D579" s="11"/>
      <c r="E579" s="25"/>
      <c r="F579" s="21"/>
      <c r="G579" s="14"/>
      <c r="H579" s="15">
        <f t="shared" si="2"/>
        <v>0</v>
      </c>
      <c r="I579" s="16">
        <f t="shared" si="3"/>
        <v>23349.59</v>
      </c>
    </row>
    <row r="580" ht="22.5" customHeight="1">
      <c r="A580" s="8"/>
      <c r="B580" s="9" t="str">
        <f t="shared" si="1"/>
        <v>Dec-1899</v>
      </c>
      <c r="C580" s="10"/>
      <c r="D580" s="11"/>
      <c r="E580" s="25"/>
      <c r="F580" s="21"/>
      <c r="G580" s="14"/>
      <c r="H580" s="15">
        <f t="shared" si="2"/>
        <v>0</v>
      </c>
      <c r="I580" s="16">
        <f t="shared" si="3"/>
        <v>23349.59</v>
      </c>
    </row>
    <row r="581" ht="22.5" customHeight="1">
      <c r="A581" s="8"/>
      <c r="B581" s="9" t="str">
        <f t="shared" si="1"/>
        <v>Dec-1899</v>
      </c>
      <c r="C581" s="10"/>
      <c r="D581" s="11"/>
      <c r="E581" s="25"/>
      <c r="F581" s="21"/>
      <c r="G581" s="14"/>
      <c r="H581" s="15">
        <f t="shared" si="2"/>
        <v>0</v>
      </c>
      <c r="I581" s="16">
        <f t="shared" si="3"/>
        <v>23349.59</v>
      </c>
    </row>
    <row r="582" ht="22.5" customHeight="1">
      <c r="A582" s="8"/>
      <c r="B582" s="9" t="str">
        <f t="shared" si="1"/>
        <v>Dec-1899</v>
      </c>
      <c r="C582" s="10"/>
      <c r="D582" s="11"/>
      <c r="E582" s="25"/>
      <c r="F582" s="21"/>
      <c r="G582" s="14"/>
      <c r="H582" s="15">
        <f t="shared" si="2"/>
        <v>0</v>
      </c>
      <c r="I582" s="16">
        <f t="shared" si="3"/>
        <v>23349.59</v>
      </c>
    </row>
    <row r="583" ht="22.5" customHeight="1">
      <c r="A583" s="8"/>
      <c r="B583" s="9" t="str">
        <f t="shared" si="1"/>
        <v>Dec-1899</v>
      </c>
      <c r="C583" s="10"/>
      <c r="D583" s="11"/>
      <c r="E583" s="25"/>
      <c r="F583" s="21"/>
      <c r="G583" s="14"/>
      <c r="H583" s="15">
        <f t="shared" si="2"/>
        <v>0</v>
      </c>
      <c r="I583" s="16">
        <f t="shared" si="3"/>
        <v>23349.59</v>
      </c>
    </row>
    <row r="584" ht="22.5" customHeight="1">
      <c r="A584" s="8"/>
      <c r="B584" s="9" t="str">
        <f t="shared" si="1"/>
        <v>Dec-1899</v>
      </c>
      <c r="C584" s="10"/>
      <c r="D584" s="11"/>
      <c r="E584" s="25"/>
      <c r="F584" s="21"/>
      <c r="G584" s="14"/>
      <c r="H584" s="15">
        <f t="shared" si="2"/>
        <v>0</v>
      </c>
      <c r="I584" s="16">
        <f t="shared" si="3"/>
        <v>23349.59</v>
      </c>
    </row>
    <row r="585" ht="22.5" customHeight="1">
      <c r="A585" s="8"/>
      <c r="B585" s="9" t="str">
        <f t="shared" si="1"/>
        <v>Dec-1899</v>
      </c>
      <c r="C585" s="10"/>
      <c r="D585" s="11"/>
      <c r="E585" s="25"/>
      <c r="F585" s="21"/>
      <c r="G585" s="14"/>
      <c r="H585" s="15">
        <f t="shared" si="2"/>
        <v>0</v>
      </c>
      <c r="I585" s="16">
        <f t="shared" si="3"/>
        <v>23349.59</v>
      </c>
    </row>
    <row r="586" ht="22.5" customHeight="1">
      <c r="A586" s="8"/>
      <c r="B586" s="9" t="str">
        <f t="shared" si="1"/>
        <v>Dec-1899</v>
      </c>
      <c r="C586" s="10"/>
      <c r="D586" s="11"/>
      <c r="E586" s="25"/>
      <c r="F586" s="21"/>
      <c r="G586" s="14"/>
      <c r="H586" s="15">
        <f t="shared" si="2"/>
        <v>0</v>
      </c>
      <c r="I586" s="16">
        <f t="shared" si="3"/>
        <v>23349.59</v>
      </c>
    </row>
    <row r="587" ht="22.5" customHeight="1">
      <c r="A587" s="8"/>
      <c r="B587" s="9" t="str">
        <f t="shared" si="1"/>
        <v>Dec-1899</v>
      </c>
      <c r="C587" s="10"/>
      <c r="D587" s="11"/>
      <c r="E587" s="25"/>
      <c r="F587" s="21"/>
      <c r="G587" s="14"/>
      <c r="H587" s="15">
        <f t="shared" si="2"/>
        <v>0</v>
      </c>
      <c r="I587" s="16">
        <f t="shared" si="3"/>
        <v>23349.59</v>
      </c>
    </row>
    <row r="588" ht="22.5" customHeight="1">
      <c r="A588" s="8"/>
      <c r="B588" s="9" t="str">
        <f t="shared" si="1"/>
        <v>Dec-1899</v>
      </c>
      <c r="C588" s="10"/>
      <c r="D588" s="11"/>
      <c r="E588" s="25"/>
      <c r="F588" s="21"/>
      <c r="G588" s="14"/>
      <c r="H588" s="15">
        <f t="shared" si="2"/>
        <v>0</v>
      </c>
      <c r="I588" s="16">
        <f t="shared" si="3"/>
        <v>23349.59</v>
      </c>
    </row>
    <row r="589" ht="22.5" customHeight="1">
      <c r="A589" s="8"/>
      <c r="B589" s="9" t="str">
        <f t="shared" si="1"/>
        <v>Dec-1899</v>
      </c>
      <c r="C589" s="10"/>
      <c r="D589" s="11"/>
      <c r="E589" s="25"/>
      <c r="F589" s="21"/>
      <c r="G589" s="14"/>
      <c r="H589" s="15">
        <f t="shared" si="2"/>
        <v>0</v>
      </c>
      <c r="I589" s="16">
        <f t="shared" si="3"/>
        <v>23349.59</v>
      </c>
    </row>
    <row r="590" ht="22.5" customHeight="1">
      <c r="A590" s="8"/>
      <c r="B590" s="9" t="str">
        <f t="shared" si="1"/>
        <v>Dec-1899</v>
      </c>
      <c r="C590" s="10"/>
      <c r="D590" s="11"/>
      <c r="E590" s="25"/>
      <c r="F590" s="21"/>
      <c r="G590" s="14"/>
      <c r="H590" s="15">
        <f t="shared" si="2"/>
        <v>0</v>
      </c>
      <c r="I590" s="16">
        <f t="shared" si="3"/>
        <v>23349.59</v>
      </c>
    </row>
    <row r="591" ht="22.5" customHeight="1">
      <c r="A591" s="8"/>
      <c r="B591" s="9" t="str">
        <f t="shared" si="1"/>
        <v>Dec-1899</v>
      </c>
      <c r="C591" s="10"/>
      <c r="D591" s="11"/>
      <c r="E591" s="25"/>
      <c r="F591" s="21"/>
      <c r="G591" s="14"/>
      <c r="H591" s="15">
        <f t="shared" si="2"/>
        <v>0</v>
      </c>
      <c r="I591" s="16">
        <f t="shared" si="3"/>
        <v>23349.59</v>
      </c>
    </row>
    <row r="592" ht="22.5" customHeight="1">
      <c r="A592" s="8"/>
      <c r="B592" s="9" t="str">
        <f t="shared" si="1"/>
        <v>Dec-1899</v>
      </c>
      <c r="C592" s="10"/>
      <c r="D592" s="11"/>
      <c r="E592" s="25"/>
      <c r="F592" s="21"/>
      <c r="G592" s="14"/>
      <c r="H592" s="15">
        <f t="shared" si="2"/>
        <v>0</v>
      </c>
      <c r="I592" s="16">
        <f t="shared" si="3"/>
        <v>23349.59</v>
      </c>
    </row>
    <row r="593" ht="22.5" customHeight="1">
      <c r="A593" s="8"/>
      <c r="B593" s="9" t="str">
        <f t="shared" si="1"/>
        <v>Dec-1899</v>
      </c>
      <c r="C593" s="10"/>
      <c r="D593" s="11"/>
      <c r="E593" s="25"/>
      <c r="F593" s="21"/>
      <c r="G593" s="14"/>
      <c r="H593" s="15">
        <f t="shared" si="2"/>
        <v>0</v>
      </c>
      <c r="I593" s="16">
        <f t="shared" si="3"/>
        <v>23349.59</v>
      </c>
    </row>
    <row r="594" ht="22.5" customHeight="1">
      <c r="A594" s="8"/>
      <c r="B594" s="9" t="str">
        <f t="shared" si="1"/>
        <v>Dec-1899</v>
      </c>
      <c r="C594" s="10"/>
      <c r="D594" s="11"/>
      <c r="E594" s="25"/>
      <c r="F594" s="21"/>
      <c r="G594" s="14"/>
      <c r="H594" s="15">
        <f t="shared" si="2"/>
        <v>0</v>
      </c>
      <c r="I594" s="16">
        <f t="shared" si="3"/>
        <v>23349.59</v>
      </c>
    </row>
    <row r="595" ht="22.5" customHeight="1">
      <c r="A595" s="8"/>
      <c r="B595" s="9" t="str">
        <f t="shared" si="1"/>
        <v>Dec-1899</v>
      </c>
      <c r="C595" s="10"/>
      <c r="D595" s="11"/>
      <c r="E595" s="25"/>
      <c r="F595" s="21"/>
      <c r="G595" s="14"/>
      <c r="H595" s="15">
        <f t="shared" si="2"/>
        <v>0</v>
      </c>
      <c r="I595" s="16">
        <f t="shared" si="3"/>
        <v>23349.59</v>
      </c>
    </row>
    <row r="596" ht="22.5" customHeight="1">
      <c r="A596" s="8"/>
      <c r="B596" s="9" t="str">
        <f t="shared" si="1"/>
        <v>Dec-1899</v>
      </c>
      <c r="C596" s="10"/>
      <c r="D596" s="11"/>
      <c r="E596" s="25"/>
      <c r="F596" s="21"/>
      <c r="G596" s="14"/>
      <c r="H596" s="15">
        <f t="shared" si="2"/>
        <v>0</v>
      </c>
      <c r="I596" s="16">
        <f t="shared" si="3"/>
        <v>23349.59</v>
      </c>
    </row>
    <row r="597" ht="22.5" customHeight="1">
      <c r="A597" s="8"/>
      <c r="B597" s="9" t="str">
        <f t="shared" si="1"/>
        <v>Dec-1899</v>
      </c>
      <c r="C597" s="10"/>
      <c r="D597" s="11"/>
      <c r="E597" s="25"/>
      <c r="F597" s="21"/>
      <c r="G597" s="14"/>
      <c r="H597" s="15">
        <f t="shared" si="2"/>
        <v>0</v>
      </c>
      <c r="I597" s="16">
        <f t="shared" si="3"/>
        <v>23349.59</v>
      </c>
    </row>
    <row r="598" ht="22.5" customHeight="1">
      <c r="A598" s="8"/>
      <c r="B598" s="9" t="str">
        <f t="shared" si="1"/>
        <v>Dec-1899</v>
      </c>
      <c r="C598" s="10"/>
      <c r="D598" s="11"/>
      <c r="E598" s="25"/>
      <c r="F598" s="21"/>
      <c r="G598" s="14"/>
      <c r="H598" s="15">
        <f t="shared" si="2"/>
        <v>0</v>
      </c>
      <c r="I598" s="16">
        <f t="shared" si="3"/>
        <v>23349.59</v>
      </c>
    </row>
    <row r="599" ht="22.5" customHeight="1">
      <c r="A599" s="8"/>
      <c r="B599" s="9" t="str">
        <f t="shared" si="1"/>
        <v>Dec-1899</v>
      </c>
      <c r="C599" s="10"/>
      <c r="D599" s="11"/>
      <c r="E599" s="25"/>
      <c r="F599" s="21"/>
      <c r="G599" s="14"/>
      <c r="H599" s="15">
        <f t="shared" si="2"/>
        <v>0</v>
      </c>
      <c r="I599" s="16">
        <f t="shared" si="3"/>
        <v>23349.59</v>
      </c>
    </row>
    <row r="600" ht="22.5" customHeight="1">
      <c r="A600" s="8"/>
      <c r="B600" s="9" t="str">
        <f t="shared" si="1"/>
        <v>Dec-1899</v>
      </c>
      <c r="C600" s="10"/>
      <c r="D600" s="11"/>
      <c r="E600" s="25"/>
      <c r="F600" s="21"/>
      <c r="G600" s="14"/>
      <c r="H600" s="15">
        <f t="shared" si="2"/>
        <v>0</v>
      </c>
      <c r="I600" s="16">
        <f t="shared" si="3"/>
        <v>23349.59</v>
      </c>
    </row>
    <row r="601" ht="22.5" customHeight="1">
      <c r="A601" s="8"/>
      <c r="B601" s="9" t="str">
        <f t="shared" si="1"/>
        <v>Dec-1899</v>
      </c>
      <c r="C601" s="10"/>
      <c r="D601" s="11"/>
      <c r="E601" s="25"/>
      <c r="F601" s="21"/>
      <c r="G601" s="14"/>
      <c r="H601" s="15">
        <f t="shared" si="2"/>
        <v>0</v>
      </c>
      <c r="I601" s="16">
        <f t="shared" si="3"/>
        <v>23349.59</v>
      </c>
    </row>
    <row r="602" ht="22.5" customHeight="1">
      <c r="A602" s="8"/>
      <c r="B602" s="9" t="str">
        <f t="shared" si="1"/>
        <v>Dec-1899</v>
      </c>
      <c r="C602" s="10"/>
      <c r="D602" s="11"/>
      <c r="E602" s="25"/>
      <c r="F602" s="21"/>
      <c r="G602" s="14"/>
      <c r="H602" s="15">
        <f t="shared" si="2"/>
        <v>0</v>
      </c>
      <c r="I602" s="16">
        <f t="shared" si="3"/>
        <v>23349.59</v>
      </c>
    </row>
    <row r="603" ht="22.5" customHeight="1">
      <c r="A603" s="8"/>
      <c r="B603" s="9" t="str">
        <f t="shared" si="1"/>
        <v>Dec-1899</v>
      </c>
      <c r="C603" s="10"/>
      <c r="D603" s="11"/>
      <c r="E603" s="25"/>
      <c r="F603" s="21"/>
      <c r="G603" s="14"/>
      <c r="H603" s="15">
        <f t="shared" si="2"/>
        <v>0</v>
      </c>
      <c r="I603" s="16">
        <f t="shared" si="3"/>
        <v>23349.59</v>
      </c>
    </row>
    <row r="604" ht="22.5" customHeight="1">
      <c r="A604" s="8"/>
      <c r="B604" s="9" t="str">
        <f t="shared" si="1"/>
        <v>Dec-1899</v>
      </c>
      <c r="C604" s="10"/>
      <c r="D604" s="11"/>
      <c r="E604" s="25"/>
      <c r="F604" s="21"/>
      <c r="G604" s="14"/>
      <c r="H604" s="15">
        <f t="shared" si="2"/>
        <v>0</v>
      </c>
      <c r="I604" s="16">
        <f t="shared" si="3"/>
        <v>23349.59</v>
      </c>
    </row>
    <row r="605" ht="22.5" customHeight="1">
      <c r="A605" s="8"/>
      <c r="B605" s="9" t="str">
        <f t="shared" si="1"/>
        <v>Dec-1899</v>
      </c>
      <c r="C605" s="10"/>
      <c r="D605" s="11"/>
      <c r="E605" s="25"/>
      <c r="F605" s="21"/>
      <c r="G605" s="14"/>
      <c r="H605" s="15">
        <f t="shared" si="2"/>
        <v>0</v>
      </c>
      <c r="I605" s="16">
        <f t="shared" si="3"/>
        <v>23349.59</v>
      </c>
    </row>
    <row r="606" ht="22.5" customHeight="1">
      <c r="A606" s="8"/>
      <c r="B606" s="9" t="str">
        <f t="shared" si="1"/>
        <v>Dec-1899</v>
      </c>
      <c r="C606" s="10"/>
      <c r="D606" s="11"/>
      <c r="E606" s="25"/>
      <c r="F606" s="21"/>
      <c r="G606" s="14"/>
      <c r="H606" s="15">
        <f t="shared" si="2"/>
        <v>0</v>
      </c>
      <c r="I606" s="16">
        <f t="shared" si="3"/>
        <v>23349.59</v>
      </c>
    </row>
    <row r="607" ht="22.5" customHeight="1">
      <c r="A607" s="8"/>
      <c r="B607" s="9" t="str">
        <f t="shared" si="1"/>
        <v>Dec-1899</v>
      </c>
      <c r="C607" s="10"/>
      <c r="D607" s="11"/>
      <c r="E607" s="25"/>
      <c r="F607" s="21"/>
      <c r="G607" s="14"/>
      <c r="H607" s="15">
        <f t="shared" si="2"/>
        <v>0</v>
      </c>
      <c r="I607" s="16">
        <f t="shared" si="3"/>
        <v>23349.59</v>
      </c>
    </row>
    <row r="608" ht="22.5" customHeight="1">
      <c r="A608" s="8"/>
      <c r="B608" s="9" t="str">
        <f t="shared" si="1"/>
        <v>Dec-1899</v>
      </c>
      <c r="C608" s="10"/>
      <c r="D608" s="11"/>
      <c r="E608" s="25"/>
      <c r="F608" s="21"/>
      <c r="G608" s="14"/>
      <c r="H608" s="15">
        <f t="shared" si="2"/>
        <v>0</v>
      </c>
      <c r="I608" s="16">
        <f t="shared" si="3"/>
        <v>23349.59</v>
      </c>
    </row>
    <row r="609" ht="22.5" customHeight="1">
      <c r="A609" s="8"/>
      <c r="B609" s="9" t="str">
        <f t="shared" si="1"/>
        <v>Dec-1899</v>
      </c>
      <c r="C609" s="10"/>
      <c r="D609" s="11"/>
      <c r="E609" s="25"/>
      <c r="F609" s="21"/>
      <c r="G609" s="14"/>
      <c r="H609" s="15">
        <f t="shared" si="2"/>
        <v>0</v>
      </c>
      <c r="I609" s="16">
        <f t="shared" si="3"/>
        <v>23349.59</v>
      </c>
    </row>
    <row r="610" ht="22.5" customHeight="1">
      <c r="A610" s="8"/>
      <c r="B610" s="9" t="str">
        <f t="shared" si="1"/>
        <v>Dec-1899</v>
      </c>
      <c r="C610" s="10"/>
      <c r="D610" s="11"/>
      <c r="E610" s="25"/>
      <c r="F610" s="21"/>
      <c r="G610" s="14"/>
      <c r="H610" s="15">
        <f t="shared" si="2"/>
        <v>0</v>
      </c>
      <c r="I610" s="16">
        <f t="shared" si="3"/>
        <v>23349.59</v>
      </c>
    </row>
    <row r="611" ht="22.5" customHeight="1">
      <c r="A611" s="8"/>
      <c r="B611" s="9" t="str">
        <f t="shared" si="1"/>
        <v>Dec-1899</v>
      </c>
      <c r="C611" s="10"/>
      <c r="D611" s="11"/>
      <c r="E611" s="25"/>
      <c r="F611" s="21"/>
      <c r="G611" s="14"/>
      <c r="H611" s="15">
        <f t="shared" si="2"/>
        <v>0</v>
      </c>
      <c r="I611" s="16">
        <f t="shared" si="3"/>
        <v>23349.59</v>
      </c>
    </row>
    <row r="612" ht="22.5" customHeight="1">
      <c r="A612" s="8"/>
      <c r="B612" s="9" t="str">
        <f t="shared" si="1"/>
        <v>Dec-1899</v>
      </c>
      <c r="C612" s="10"/>
      <c r="D612" s="11"/>
      <c r="E612" s="25"/>
      <c r="F612" s="21"/>
      <c r="G612" s="14"/>
      <c r="H612" s="15">
        <f t="shared" si="2"/>
        <v>0</v>
      </c>
      <c r="I612" s="16">
        <f t="shared" si="3"/>
        <v>23349.59</v>
      </c>
    </row>
    <row r="613" ht="22.5" customHeight="1">
      <c r="A613" s="8"/>
      <c r="B613" s="9" t="str">
        <f t="shared" si="1"/>
        <v>Dec-1899</v>
      </c>
      <c r="C613" s="10"/>
      <c r="D613" s="11"/>
      <c r="E613" s="25"/>
      <c r="F613" s="21"/>
      <c r="G613" s="14"/>
      <c r="H613" s="15">
        <f t="shared" si="2"/>
        <v>0</v>
      </c>
      <c r="I613" s="16">
        <f t="shared" si="3"/>
        <v>23349.59</v>
      </c>
    </row>
    <row r="614" ht="22.5" customHeight="1">
      <c r="A614" s="8"/>
      <c r="B614" s="9" t="str">
        <f t="shared" si="1"/>
        <v>Dec-1899</v>
      </c>
      <c r="C614" s="10"/>
      <c r="D614" s="11"/>
      <c r="E614" s="25"/>
      <c r="F614" s="21"/>
      <c r="G614" s="14"/>
      <c r="H614" s="15">
        <f t="shared" si="2"/>
        <v>0</v>
      </c>
      <c r="I614" s="16">
        <f t="shared" si="3"/>
        <v>23349.59</v>
      </c>
    </row>
    <row r="615" ht="22.5" customHeight="1">
      <c r="A615" s="8"/>
      <c r="B615" s="9" t="str">
        <f t="shared" si="1"/>
        <v>Dec-1899</v>
      </c>
      <c r="C615" s="10"/>
      <c r="D615" s="11"/>
      <c r="E615" s="25"/>
      <c r="F615" s="21"/>
      <c r="G615" s="14"/>
      <c r="H615" s="15">
        <f t="shared" si="2"/>
        <v>0</v>
      </c>
      <c r="I615" s="16">
        <f t="shared" si="3"/>
        <v>23349.59</v>
      </c>
    </row>
    <row r="616" ht="22.5" customHeight="1">
      <c r="A616" s="8"/>
      <c r="B616" s="9" t="str">
        <f t="shared" si="1"/>
        <v>Dec-1899</v>
      </c>
      <c r="C616" s="10"/>
      <c r="D616" s="11"/>
      <c r="E616" s="25"/>
      <c r="F616" s="21"/>
      <c r="G616" s="14"/>
      <c r="H616" s="15">
        <f t="shared" si="2"/>
        <v>0</v>
      </c>
      <c r="I616" s="16">
        <f t="shared" si="3"/>
        <v>23349.59</v>
      </c>
    </row>
    <row r="617" ht="22.5" customHeight="1">
      <c r="A617" s="8"/>
      <c r="B617" s="9" t="str">
        <f t="shared" si="1"/>
        <v>Dec-1899</v>
      </c>
      <c r="C617" s="10"/>
      <c r="D617" s="11"/>
      <c r="E617" s="25"/>
      <c r="F617" s="21"/>
      <c r="G617" s="14"/>
      <c r="H617" s="15">
        <f t="shared" si="2"/>
        <v>0</v>
      </c>
      <c r="I617" s="16">
        <f t="shared" si="3"/>
        <v>23349.59</v>
      </c>
    </row>
    <row r="618" ht="22.5" customHeight="1">
      <c r="A618" s="8"/>
      <c r="B618" s="9" t="str">
        <f t="shared" si="1"/>
        <v>Dec-1899</v>
      </c>
      <c r="C618" s="10"/>
      <c r="D618" s="11"/>
      <c r="E618" s="25"/>
      <c r="F618" s="21"/>
      <c r="G618" s="14"/>
      <c r="H618" s="15">
        <f t="shared" si="2"/>
        <v>0</v>
      </c>
      <c r="I618" s="16">
        <f t="shared" si="3"/>
        <v>23349.59</v>
      </c>
    </row>
    <row r="619" ht="22.5" customHeight="1">
      <c r="A619" s="8"/>
      <c r="B619" s="9" t="str">
        <f t="shared" si="1"/>
        <v>Dec-1899</v>
      </c>
      <c r="C619" s="10"/>
      <c r="D619" s="11"/>
      <c r="E619" s="25"/>
      <c r="F619" s="21"/>
      <c r="G619" s="14"/>
      <c r="H619" s="15">
        <f t="shared" si="2"/>
        <v>0</v>
      </c>
      <c r="I619" s="16">
        <f t="shared" si="3"/>
        <v>23349.59</v>
      </c>
    </row>
    <row r="620" ht="22.5" customHeight="1">
      <c r="A620" s="8"/>
      <c r="B620" s="9" t="str">
        <f t="shared" si="1"/>
        <v>Dec-1899</v>
      </c>
      <c r="C620" s="10"/>
      <c r="D620" s="11"/>
      <c r="E620" s="25"/>
      <c r="F620" s="21"/>
      <c r="G620" s="14"/>
      <c r="H620" s="15">
        <f t="shared" si="2"/>
        <v>0</v>
      </c>
      <c r="I620" s="16">
        <f t="shared" si="3"/>
        <v>23349.59</v>
      </c>
    </row>
    <row r="621" ht="22.5" customHeight="1">
      <c r="A621" s="8"/>
      <c r="B621" s="9" t="str">
        <f t="shared" si="1"/>
        <v>Dec-1899</v>
      </c>
      <c r="C621" s="10"/>
      <c r="D621" s="11"/>
      <c r="E621" s="25"/>
      <c r="F621" s="21"/>
      <c r="G621" s="14"/>
      <c r="H621" s="15">
        <f t="shared" si="2"/>
        <v>0</v>
      </c>
      <c r="I621" s="16">
        <f t="shared" si="3"/>
        <v>23349.59</v>
      </c>
    </row>
    <row r="622" ht="22.5" customHeight="1">
      <c r="A622" s="8"/>
      <c r="B622" s="9" t="str">
        <f t="shared" si="1"/>
        <v>Dec-1899</v>
      </c>
      <c r="C622" s="10"/>
      <c r="D622" s="11"/>
      <c r="E622" s="25"/>
      <c r="F622" s="21"/>
      <c r="G622" s="14"/>
      <c r="H622" s="15">
        <f t="shared" si="2"/>
        <v>0</v>
      </c>
      <c r="I622" s="16">
        <f t="shared" si="3"/>
        <v>23349.59</v>
      </c>
    </row>
    <row r="623" ht="22.5" customHeight="1">
      <c r="A623" s="8"/>
      <c r="B623" s="9" t="str">
        <f t="shared" si="1"/>
        <v>Dec-1899</v>
      </c>
      <c r="C623" s="10"/>
      <c r="D623" s="11"/>
      <c r="E623" s="25"/>
      <c r="F623" s="21"/>
      <c r="G623" s="14"/>
      <c r="H623" s="15">
        <f t="shared" si="2"/>
        <v>0</v>
      </c>
      <c r="I623" s="16">
        <f t="shared" si="3"/>
        <v>23349.59</v>
      </c>
    </row>
    <row r="624" ht="22.5" customHeight="1">
      <c r="A624" s="8"/>
      <c r="B624" s="9" t="str">
        <f t="shared" si="1"/>
        <v>Dec-1899</v>
      </c>
      <c r="C624" s="10"/>
      <c r="D624" s="11"/>
      <c r="E624" s="25"/>
      <c r="F624" s="21"/>
      <c r="G624" s="14"/>
      <c r="H624" s="15">
        <f t="shared" si="2"/>
        <v>0</v>
      </c>
      <c r="I624" s="16">
        <f t="shared" si="3"/>
        <v>23349.59</v>
      </c>
    </row>
    <row r="625" ht="22.5" customHeight="1">
      <c r="A625" s="8"/>
      <c r="B625" s="9" t="str">
        <f t="shared" si="1"/>
        <v>Dec-1899</v>
      </c>
      <c r="C625" s="10"/>
      <c r="D625" s="11"/>
      <c r="E625" s="25"/>
      <c r="F625" s="21"/>
      <c r="G625" s="14"/>
      <c r="H625" s="15">
        <f t="shared" si="2"/>
        <v>0</v>
      </c>
      <c r="I625" s="16">
        <f t="shared" si="3"/>
        <v>23349.59</v>
      </c>
    </row>
    <row r="626" ht="22.5" customHeight="1">
      <c r="A626" s="8"/>
      <c r="B626" s="9" t="str">
        <f t="shared" si="1"/>
        <v>Dec-1899</v>
      </c>
      <c r="C626" s="10"/>
      <c r="D626" s="11"/>
      <c r="E626" s="25"/>
      <c r="F626" s="21"/>
      <c r="G626" s="14"/>
      <c r="H626" s="15">
        <f t="shared" si="2"/>
        <v>0</v>
      </c>
      <c r="I626" s="16">
        <f t="shared" si="3"/>
        <v>23349.59</v>
      </c>
    </row>
    <row r="627" ht="22.5" customHeight="1">
      <c r="A627" s="8"/>
      <c r="B627" s="9" t="str">
        <f t="shared" si="1"/>
        <v>Dec-1899</v>
      </c>
      <c r="C627" s="10"/>
      <c r="D627" s="11"/>
      <c r="E627" s="25"/>
      <c r="F627" s="21"/>
      <c r="G627" s="14"/>
      <c r="H627" s="15">
        <f t="shared" si="2"/>
        <v>0</v>
      </c>
      <c r="I627" s="16">
        <f t="shared" si="3"/>
        <v>23349.59</v>
      </c>
    </row>
    <row r="628" ht="22.5" customHeight="1">
      <c r="A628" s="8"/>
      <c r="B628" s="9" t="str">
        <f t="shared" si="1"/>
        <v>Dec-1899</v>
      </c>
      <c r="C628" s="10"/>
      <c r="D628" s="11"/>
      <c r="E628" s="25"/>
      <c r="F628" s="21"/>
      <c r="G628" s="14"/>
      <c r="H628" s="15">
        <f t="shared" si="2"/>
        <v>0</v>
      </c>
      <c r="I628" s="16">
        <f t="shared" si="3"/>
        <v>23349.59</v>
      </c>
    </row>
    <row r="629" ht="22.5" customHeight="1">
      <c r="A629" s="8"/>
      <c r="B629" s="9" t="str">
        <f t="shared" si="1"/>
        <v>Dec-1899</v>
      </c>
      <c r="C629" s="10"/>
      <c r="D629" s="11"/>
      <c r="E629" s="25"/>
      <c r="F629" s="21"/>
      <c r="G629" s="14"/>
      <c r="H629" s="15">
        <f t="shared" si="2"/>
        <v>0</v>
      </c>
      <c r="I629" s="16">
        <f t="shared" si="3"/>
        <v>23349.59</v>
      </c>
    </row>
    <row r="630" ht="22.5" customHeight="1">
      <c r="A630" s="8"/>
      <c r="B630" s="9" t="str">
        <f t="shared" si="1"/>
        <v>Dec-1899</v>
      </c>
      <c r="C630" s="10"/>
      <c r="D630" s="11"/>
      <c r="E630" s="25"/>
      <c r="F630" s="21"/>
      <c r="G630" s="14"/>
      <c r="H630" s="15">
        <f t="shared" si="2"/>
        <v>0</v>
      </c>
      <c r="I630" s="16">
        <f t="shared" si="3"/>
        <v>23349.59</v>
      </c>
    </row>
    <row r="631" ht="22.5" customHeight="1">
      <c r="A631" s="8"/>
      <c r="B631" s="9" t="str">
        <f t="shared" si="1"/>
        <v>Dec-1899</v>
      </c>
      <c r="C631" s="10"/>
      <c r="D631" s="11"/>
      <c r="E631" s="25"/>
      <c r="F631" s="21"/>
      <c r="G631" s="14"/>
      <c r="H631" s="15">
        <f t="shared" si="2"/>
        <v>0</v>
      </c>
      <c r="I631" s="16">
        <f t="shared" si="3"/>
        <v>23349.59</v>
      </c>
    </row>
    <row r="632" ht="22.5" customHeight="1">
      <c r="A632" s="8"/>
      <c r="B632" s="9" t="str">
        <f t="shared" si="1"/>
        <v>Dec-1899</v>
      </c>
      <c r="C632" s="10"/>
      <c r="D632" s="11"/>
      <c r="E632" s="25"/>
      <c r="F632" s="21"/>
      <c r="G632" s="14"/>
      <c r="H632" s="15">
        <f t="shared" si="2"/>
        <v>0</v>
      </c>
      <c r="I632" s="16">
        <f t="shared" si="3"/>
        <v>23349.59</v>
      </c>
    </row>
    <row r="633" ht="22.5" customHeight="1">
      <c r="A633" s="8"/>
      <c r="B633" s="9" t="str">
        <f t="shared" si="1"/>
        <v>Dec-1899</v>
      </c>
      <c r="C633" s="10"/>
      <c r="D633" s="11"/>
      <c r="E633" s="25"/>
      <c r="F633" s="21"/>
      <c r="G633" s="14"/>
      <c r="H633" s="15">
        <f t="shared" si="2"/>
        <v>0</v>
      </c>
      <c r="I633" s="16">
        <f t="shared" si="3"/>
        <v>23349.59</v>
      </c>
    </row>
    <row r="634" ht="22.5" customHeight="1">
      <c r="A634" s="8"/>
      <c r="B634" s="9" t="str">
        <f t="shared" si="1"/>
        <v>Dec-1899</v>
      </c>
      <c r="C634" s="10"/>
      <c r="D634" s="11"/>
      <c r="E634" s="25"/>
      <c r="F634" s="21"/>
      <c r="G634" s="14"/>
      <c r="H634" s="15">
        <f t="shared" si="2"/>
        <v>0</v>
      </c>
      <c r="I634" s="16">
        <f t="shared" si="3"/>
        <v>23349.59</v>
      </c>
    </row>
    <row r="635" ht="22.5" customHeight="1">
      <c r="A635" s="8"/>
      <c r="B635" s="9" t="str">
        <f t="shared" si="1"/>
        <v>Dec-1899</v>
      </c>
      <c r="C635" s="10"/>
      <c r="D635" s="11"/>
      <c r="E635" s="25"/>
      <c r="F635" s="21"/>
      <c r="G635" s="14"/>
      <c r="H635" s="15">
        <f t="shared" si="2"/>
        <v>0</v>
      </c>
      <c r="I635" s="16">
        <f t="shared" si="3"/>
        <v>23349.59</v>
      </c>
    </row>
    <row r="636" ht="22.5" customHeight="1">
      <c r="A636" s="8"/>
      <c r="B636" s="9" t="str">
        <f t="shared" si="1"/>
        <v>Dec-1899</v>
      </c>
      <c r="C636" s="10"/>
      <c r="D636" s="11"/>
      <c r="E636" s="25"/>
      <c r="F636" s="21"/>
      <c r="G636" s="14"/>
      <c r="H636" s="15">
        <f t="shared" si="2"/>
        <v>0</v>
      </c>
      <c r="I636" s="16">
        <f t="shared" si="3"/>
        <v>23349.59</v>
      </c>
    </row>
    <row r="637" ht="22.5" customHeight="1">
      <c r="A637" s="8"/>
      <c r="B637" s="9" t="str">
        <f t="shared" si="1"/>
        <v>Dec-1899</v>
      </c>
      <c r="C637" s="10"/>
      <c r="D637" s="11"/>
      <c r="E637" s="25"/>
      <c r="F637" s="21"/>
      <c r="G637" s="14"/>
      <c r="H637" s="15">
        <f t="shared" si="2"/>
        <v>0</v>
      </c>
      <c r="I637" s="16">
        <f t="shared" si="3"/>
        <v>23349.59</v>
      </c>
    </row>
    <row r="638" ht="22.5" customHeight="1">
      <c r="A638" s="8"/>
      <c r="B638" s="9" t="str">
        <f t="shared" si="1"/>
        <v>Dec-1899</v>
      </c>
      <c r="C638" s="10"/>
      <c r="D638" s="11"/>
      <c r="E638" s="25"/>
      <c r="F638" s="21"/>
      <c r="G638" s="14"/>
      <c r="H638" s="15">
        <f t="shared" si="2"/>
        <v>0</v>
      </c>
      <c r="I638" s="16">
        <f t="shared" si="3"/>
        <v>23349.59</v>
      </c>
    </row>
    <row r="639" ht="22.5" customHeight="1">
      <c r="A639" s="8"/>
      <c r="B639" s="9" t="str">
        <f t="shared" si="1"/>
        <v>Dec-1899</v>
      </c>
      <c r="C639" s="10"/>
      <c r="D639" s="11"/>
      <c r="E639" s="25"/>
      <c r="F639" s="21"/>
      <c r="G639" s="14"/>
      <c r="H639" s="15">
        <f t="shared" si="2"/>
        <v>0</v>
      </c>
      <c r="I639" s="16">
        <f t="shared" si="3"/>
        <v>23349.59</v>
      </c>
    </row>
    <row r="640" ht="22.5" customHeight="1">
      <c r="A640" s="8"/>
      <c r="B640" s="9" t="str">
        <f t="shared" si="1"/>
        <v>Dec-1899</v>
      </c>
      <c r="C640" s="10"/>
      <c r="D640" s="11"/>
      <c r="E640" s="25"/>
      <c r="F640" s="21"/>
      <c r="G640" s="14"/>
      <c r="H640" s="15">
        <f t="shared" si="2"/>
        <v>0</v>
      </c>
      <c r="I640" s="16">
        <f t="shared" si="3"/>
        <v>23349.59</v>
      </c>
    </row>
    <row r="641" ht="22.5" customHeight="1">
      <c r="A641" s="8"/>
      <c r="B641" s="9" t="str">
        <f t="shared" si="1"/>
        <v>Dec-1899</v>
      </c>
      <c r="C641" s="10"/>
      <c r="D641" s="11"/>
      <c r="E641" s="25"/>
      <c r="F641" s="21"/>
      <c r="G641" s="14"/>
      <c r="H641" s="15">
        <f t="shared" si="2"/>
        <v>0</v>
      </c>
      <c r="I641" s="16">
        <f t="shared" si="3"/>
        <v>23349.59</v>
      </c>
    </row>
    <row r="642" ht="22.5" customHeight="1">
      <c r="A642" s="8"/>
      <c r="B642" s="9" t="str">
        <f t="shared" si="1"/>
        <v>Dec-1899</v>
      </c>
      <c r="C642" s="10"/>
      <c r="D642" s="11"/>
      <c r="E642" s="25"/>
      <c r="F642" s="21"/>
      <c r="G642" s="14"/>
      <c r="H642" s="15">
        <f t="shared" si="2"/>
        <v>0</v>
      </c>
      <c r="I642" s="16">
        <f t="shared" si="3"/>
        <v>23349.59</v>
      </c>
    </row>
    <row r="643" ht="22.5" customHeight="1">
      <c r="A643" s="8"/>
      <c r="B643" s="9" t="str">
        <f t="shared" si="1"/>
        <v>Dec-1899</v>
      </c>
      <c r="C643" s="10"/>
      <c r="D643" s="11"/>
      <c r="E643" s="25"/>
      <c r="F643" s="21"/>
      <c r="G643" s="14"/>
      <c r="H643" s="15">
        <f t="shared" si="2"/>
        <v>0</v>
      </c>
      <c r="I643" s="16">
        <f t="shared" si="3"/>
        <v>23349.59</v>
      </c>
    </row>
    <row r="644" ht="22.5" customHeight="1">
      <c r="A644" s="8"/>
      <c r="B644" s="9" t="str">
        <f t="shared" si="1"/>
        <v>Dec-1899</v>
      </c>
      <c r="C644" s="10"/>
      <c r="D644" s="11"/>
      <c r="E644" s="25"/>
      <c r="F644" s="21"/>
      <c r="G644" s="14"/>
      <c r="H644" s="15">
        <f t="shared" si="2"/>
        <v>0</v>
      </c>
      <c r="I644" s="16">
        <f t="shared" si="3"/>
        <v>23349.59</v>
      </c>
    </row>
    <row r="645" ht="22.5" customHeight="1">
      <c r="A645" s="8"/>
      <c r="B645" s="9" t="str">
        <f t="shared" si="1"/>
        <v>Dec-1899</v>
      </c>
      <c r="C645" s="10"/>
      <c r="D645" s="11"/>
      <c r="E645" s="25"/>
      <c r="F645" s="21"/>
      <c r="G645" s="14"/>
      <c r="H645" s="15">
        <f t="shared" si="2"/>
        <v>0</v>
      </c>
      <c r="I645" s="16">
        <f t="shared" si="3"/>
        <v>23349.59</v>
      </c>
    </row>
    <row r="646" ht="22.5" customHeight="1">
      <c r="A646" s="8"/>
      <c r="B646" s="9" t="str">
        <f t="shared" si="1"/>
        <v>Dec-1899</v>
      </c>
      <c r="C646" s="10"/>
      <c r="D646" s="11"/>
      <c r="E646" s="25"/>
      <c r="F646" s="21"/>
      <c r="G646" s="14"/>
      <c r="H646" s="15">
        <f t="shared" si="2"/>
        <v>0</v>
      </c>
      <c r="I646" s="16">
        <f t="shared" si="3"/>
        <v>23349.59</v>
      </c>
    </row>
    <row r="647" ht="22.5" customHeight="1">
      <c r="A647" s="8"/>
      <c r="B647" s="9" t="str">
        <f t="shared" si="1"/>
        <v>Dec-1899</v>
      </c>
      <c r="C647" s="10"/>
      <c r="D647" s="11"/>
      <c r="E647" s="25"/>
      <c r="F647" s="21"/>
      <c r="G647" s="14"/>
      <c r="H647" s="15">
        <f t="shared" si="2"/>
        <v>0</v>
      </c>
      <c r="I647" s="16">
        <f t="shared" si="3"/>
        <v>23349.59</v>
      </c>
    </row>
    <row r="648" ht="22.5" customHeight="1">
      <c r="A648" s="8"/>
      <c r="B648" s="9" t="str">
        <f t="shared" si="1"/>
        <v>Dec-1899</v>
      </c>
      <c r="C648" s="10"/>
      <c r="D648" s="11"/>
      <c r="E648" s="25"/>
      <c r="F648" s="21"/>
      <c r="G648" s="14"/>
      <c r="H648" s="15">
        <f t="shared" si="2"/>
        <v>0</v>
      </c>
      <c r="I648" s="16">
        <f t="shared" si="3"/>
        <v>23349.59</v>
      </c>
    </row>
    <row r="649" ht="22.5" customHeight="1">
      <c r="A649" s="8"/>
      <c r="B649" s="9" t="str">
        <f t="shared" si="1"/>
        <v>Dec-1899</v>
      </c>
      <c r="C649" s="10"/>
      <c r="D649" s="11"/>
      <c r="E649" s="25"/>
      <c r="F649" s="21"/>
      <c r="G649" s="14"/>
      <c r="H649" s="15">
        <f t="shared" si="2"/>
        <v>0</v>
      </c>
      <c r="I649" s="16">
        <f t="shared" si="3"/>
        <v>23349.59</v>
      </c>
    </row>
    <row r="650" ht="22.5" customHeight="1">
      <c r="A650" s="8"/>
      <c r="B650" s="9" t="str">
        <f t="shared" si="1"/>
        <v>Dec-1899</v>
      </c>
      <c r="C650" s="10"/>
      <c r="D650" s="11"/>
      <c r="E650" s="25"/>
      <c r="F650" s="21"/>
      <c r="G650" s="14"/>
      <c r="H650" s="15">
        <f t="shared" si="2"/>
        <v>0</v>
      </c>
      <c r="I650" s="16">
        <f t="shared" si="3"/>
        <v>23349.59</v>
      </c>
    </row>
    <row r="651" ht="22.5" customHeight="1">
      <c r="A651" s="8"/>
      <c r="B651" s="9" t="str">
        <f t="shared" si="1"/>
        <v>Dec-1899</v>
      </c>
      <c r="C651" s="10"/>
      <c r="D651" s="11"/>
      <c r="E651" s="25"/>
      <c r="F651" s="21"/>
      <c r="G651" s="14"/>
      <c r="H651" s="15">
        <f t="shared" si="2"/>
        <v>0</v>
      </c>
      <c r="I651" s="16">
        <f t="shared" si="3"/>
        <v>23349.59</v>
      </c>
    </row>
    <row r="652" ht="22.5" customHeight="1">
      <c r="A652" s="8"/>
      <c r="B652" s="9" t="str">
        <f t="shared" si="1"/>
        <v>Dec-1899</v>
      </c>
      <c r="C652" s="10"/>
      <c r="D652" s="11"/>
      <c r="E652" s="25"/>
      <c r="F652" s="21"/>
      <c r="G652" s="14"/>
      <c r="H652" s="15">
        <f t="shared" si="2"/>
        <v>0</v>
      </c>
      <c r="I652" s="16">
        <f t="shared" si="3"/>
        <v>23349.59</v>
      </c>
    </row>
    <row r="653" ht="22.5" customHeight="1">
      <c r="A653" s="8"/>
      <c r="B653" s="9" t="str">
        <f t="shared" si="1"/>
        <v>Dec-1899</v>
      </c>
      <c r="C653" s="10"/>
      <c r="D653" s="11"/>
      <c r="E653" s="25"/>
      <c r="F653" s="21"/>
      <c r="G653" s="14"/>
      <c r="H653" s="15">
        <f t="shared" si="2"/>
        <v>0</v>
      </c>
      <c r="I653" s="16">
        <f t="shared" si="3"/>
        <v>23349.59</v>
      </c>
    </row>
    <row r="654" ht="22.5" customHeight="1">
      <c r="A654" s="8"/>
      <c r="B654" s="9" t="str">
        <f t="shared" si="1"/>
        <v>Dec-1899</v>
      </c>
      <c r="C654" s="10"/>
      <c r="D654" s="11"/>
      <c r="E654" s="25"/>
      <c r="F654" s="21"/>
      <c r="G654" s="14"/>
      <c r="H654" s="15">
        <f t="shared" si="2"/>
        <v>0</v>
      </c>
      <c r="I654" s="16">
        <f t="shared" si="3"/>
        <v>23349.59</v>
      </c>
    </row>
    <row r="655" ht="22.5" customHeight="1">
      <c r="A655" s="8"/>
      <c r="B655" s="9" t="str">
        <f t="shared" si="1"/>
        <v>Dec-1899</v>
      </c>
      <c r="C655" s="10"/>
      <c r="D655" s="11"/>
      <c r="E655" s="25"/>
      <c r="F655" s="21"/>
      <c r="G655" s="14"/>
      <c r="H655" s="15">
        <f t="shared" si="2"/>
        <v>0</v>
      </c>
      <c r="I655" s="16">
        <f t="shared" si="3"/>
        <v>23349.59</v>
      </c>
    </row>
    <row r="656" ht="22.5" customHeight="1">
      <c r="A656" s="8"/>
      <c r="B656" s="9" t="str">
        <f t="shared" si="1"/>
        <v>Dec-1899</v>
      </c>
      <c r="C656" s="10"/>
      <c r="D656" s="11"/>
      <c r="E656" s="25"/>
      <c r="F656" s="21"/>
      <c r="G656" s="14"/>
      <c r="H656" s="15">
        <f t="shared" si="2"/>
        <v>0</v>
      </c>
      <c r="I656" s="16">
        <f t="shared" si="3"/>
        <v>23349.59</v>
      </c>
    </row>
    <row r="657" ht="22.5" customHeight="1">
      <c r="A657" s="8"/>
      <c r="B657" s="9" t="str">
        <f t="shared" si="1"/>
        <v>Dec-1899</v>
      </c>
      <c r="C657" s="10"/>
      <c r="D657" s="11"/>
      <c r="E657" s="25"/>
      <c r="F657" s="21"/>
      <c r="G657" s="14"/>
      <c r="H657" s="15">
        <f t="shared" si="2"/>
        <v>0</v>
      </c>
      <c r="I657" s="16">
        <f t="shared" si="3"/>
        <v>23349.59</v>
      </c>
    </row>
    <row r="658" ht="22.5" customHeight="1">
      <c r="A658" s="8"/>
      <c r="B658" s="9" t="str">
        <f t="shared" si="1"/>
        <v>Dec-1899</v>
      </c>
      <c r="C658" s="10"/>
      <c r="D658" s="11"/>
      <c r="E658" s="25"/>
      <c r="F658" s="21"/>
      <c r="G658" s="14"/>
      <c r="H658" s="15">
        <f t="shared" si="2"/>
        <v>0</v>
      </c>
      <c r="I658" s="16">
        <f t="shared" si="3"/>
        <v>23349.59</v>
      </c>
    </row>
    <row r="659" ht="22.5" customHeight="1">
      <c r="A659" s="8"/>
      <c r="B659" s="9" t="str">
        <f t="shared" si="1"/>
        <v>Dec-1899</v>
      </c>
      <c r="C659" s="10"/>
      <c r="D659" s="11"/>
      <c r="E659" s="25"/>
      <c r="F659" s="21"/>
      <c r="G659" s="14"/>
      <c r="H659" s="15">
        <f t="shared" si="2"/>
        <v>0</v>
      </c>
      <c r="I659" s="16">
        <f t="shared" si="3"/>
        <v>23349.59</v>
      </c>
    </row>
    <row r="660" ht="22.5" customHeight="1">
      <c r="A660" s="8"/>
      <c r="B660" s="9" t="str">
        <f t="shared" si="1"/>
        <v>Dec-1899</v>
      </c>
      <c r="C660" s="10"/>
      <c r="D660" s="11"/>
      <c r="E660" s="25"/>
      <c r="F660" s="21"/>
      <c r="G660" s="14"/>
      <c r="H660" s="15">
        <f t="shared" si="2"/>
        <v>0</v>
      </c>
      <c r="I660" s="16">
        <f t="shared" si="3"/>
        <v>23349.59</v>
      </c>
    </row>
    <row r="661" ht="22.5" customHeight="1">
      <c r="A661" s="8"/>
      <c r="B661" s="9" t="str">
        <f t="shared" si="1"/>
        <v>Dec-1899</v>
      </c>
      <c r="C661" s="10"/>
      <c r="D661" s="11"/>
      <c r="E661" s="25"/>
      <c r="F661" s="21"/>
      <c r="G661" s="14"/>
      <c r="H661" s="15">
        <f t="shared" si="2"/>
        <v>0</v>
      </c>
      <c r="I661" s="16">
        <f t="shared" si="3"/>
        <v>23349.59</v>
      </c>
    </row>
    <row r="662" ht="22.5" customHeight="1">
      <c r="A662" s="8"/>
      <c r="B662" s="9" t="str">
        <f t="shared" si="1"/>
        <v>Dec-1899</v>
      </c>
      <c r="C662" s="10"/>
      <c r="D662" s="11"/>
      <c r="E662" s="25"/>
      <c r="F662" s="21"/>
      <c r="G662" s="14"/>
      <c r="H662" s="15">
        <f t="shared" si="2"/>
        <v>0</v>
      </c>
      <c r="I662" s="16">
        <f t="shared" si="3"/>
        <v>23349.59</v>
      </c>
    </row>
    <row r="663" ht="22.5" customHeight="1">
      <c r="A663" s="8"/>
      <c r="B663" s="9" t="str">
        <f t="shared" si="1"/>
        <v>Dec-1899</v>
      </c>
      <c r="C663" s="10"/>
      <c r="D663" s="11"/>
      <c r="E663" s="25"/>
      <c r="F663" s="21"/>
      <c r="G663" s="14"/>
      <c r="H663" s="15">
        <f t="shared" si="2"/>
        <v>0</v>
      </c>
      <c r="I663" s="16">
        <f t="shared" si="3"/>
        <v>23349.59</v>
      </c>
    </row>
    <row r="664" ht="22.5" customHeight="1">
      <c r="A664" s="8"/>
      <c r="B664" s="9" t="str">
        <f t="shared" si="1"/>
        <v>Dec-1899</v>
      </c>
      <c r="C664" s="10"/>
      <c r="D664" s="11"/>
      <c r="E664" s="25"/>
      <c r="F664" s="21"/>
      <c r="G664" s="14"/>
      <c r="H664" s="15">
        <f t="shared" si="2"/>
        <v>0</v>
      </c>
      <c r="I664" s="16">
        <f t="shared" si="3"/>
        <v>23349.59</v>
      </c>
    </row>
    <row r="665" ht="22.5" customHeight="1">
      <c r="A665" s="8"/>
      <c r="B665" s="9" t="str">
        <f t="shared" si="1"/>
        <v>Dec-1899</v>
      </c>
      <c r="C665" s="10"/>
      <c r="D665" s="11"/>
      <c r="E665" s="25"/>
      <c r="F665" s="21"/>
      <c r="G665" s="14"/>
      <c r="H665" s="15">
        <f t="shared" si="2"/>
        <v>0</v>
      </c>
      <c r="I665" s="16">
        <f t="shared" si="3"/>
        <v>23349.59</v>
      </c>
    </row>
    <row r="666" ht="22.5" customHeight="1">
      <c r="A666" s="8"/>
      <c r="B666" s="9" t="str">
        <f t="shared" si="1"/>
        <v>Dec-1899</v>
      </c>
      <c r="C666" s="10"/>
      <c r="D666" s="11"/>
      <c r="E666" s="25"/>
      <c r="F666" s="21"/>
      <c r="G666" s="14"/>
      <c r="H666" s="15">
        <f t="shared" si="2"/>
        <v>0</v>
      </c>
      <c r="I666" s="16">
        <f t="shared" si="3"/>
        <v>23349.59</v>
      </c>
    </row>
    <row r="667" ht="22.5" customHeight="1">
      <c r="A667" s="8"/>
      <c r="B667" s="9" t="str">
        <f t="shared" si="1"/>
        <v>Dec-1899</v>
      </c>
      <c r="C667" s="10"/>
      <c r="D667" s="11"/>
      <c r="E667" s="25"/>
      <c r="F667" s="21"/>
      <c r="G667" s="14"/>
      <c r="H667" s="15">
        <f t="shared" si="2"/>
        <v>0</v>
      </c>
      <c r="I667" s="16">
        <f t="shared" si="3"/>
        <v>23349.59</v>
      </c>
    </row>
    <row r="668" ht="22.5" customHeight="1">
      <c r="A668" s="8"/>
      <c r="B668" s="9" t="str">
        <f t="shared" si="1"/>
        <v>Dec-1899</v>
      </c>
      <c r="C668" s="10"/>
      <c r="D668" s="11"/>
      <c r="E668" s="25"/>
      <c r="F668" s="21"/>
      <c r="G668" s="14"/>
      <c r="H668" s="15">
        <f t="shared" si="2"/>
        <v>0</v>
      </c>
      <c r="I668" s="16">
        <f t="shared" si="3"/>
        <v>23349.59</v>
      </c>
    </row>
    <row r="669" ht="22.5" customHeight="1">
      <c r="A669" s="8"/>
      <c r="B669" s="9" t="str">
        <f t="shared" si="1"/>
        <v>Dec-1899</v>
      </c>
      <c r="C669" s="10"/>
      <c r="D669" s="11"/>
      <c r="E669" s="25"/>
      <c r="F669" s="21"/>
      <c r="G669" s="14"/>
      <c r="H669" s="15">
        <f t="shared" si="2"/>
        <v>0</v>
      </c>
      <c r="I669" s="16">
        <f t="shared" si="3"/>
        <v>23349.59</v>
      </c>
    </row>
    <row r="670" ht="22.5" customHeight="1">
      <c r="A670" s="8"/>
      <c r="B670" s="9" t="str">
        <f t="shared" si="1"/>
        <v>Dec-1899</v>
      </c>
      <c r="C670" s="10"/>
      <c r="D670" s="11"/>
      <c r="E670" s="25"/>
      <c r="F670" s="21"/>
      <c r="G670" s="14"/>
      <c r="H670" s="15">
        <f t="shared" si="2"/>
        <v>0</v>
      </c>
      <c r="I670" s="16">
        <f t="shared" si="3"/>
        <v>23349.59</v>
      </c>
    </row>
    <row r="671" ht="22.5" customHeight="1">
      <c r="A671" s="8"/>
      <c r="B671" s="9" t="str">
        <f t="shared" si="1"/>
        <v>Dec-1899</v>
      </c>
      <c r="C671" s="10"/>
      <c r="D671" s="11"/>
      <c r="E671" s="25"/>
      <c r="F671" s="21"/>
      <c r="G671" s="14"/>
      <c r="H671" s="15">
        <f t="shared" si="2"/>
        <v>0</v>
      </c>
      <c r="I671" s="16">
        <f t="shared" si="3"/>
        <v>23349.59</v>
      </c>
    </row>
    <row r="672" ht="22.5" customHeight="1">
      <c r="A672" s="8"/>
      <c r="B672" s="9" t="str">
        <f t="shared" si="1"/>
        <v>Dec-1899</v>
      </c>
      <c r="C672" s="10"/>
      <c r="D672" s="11"/>
      <c r="E672" s="25"/>
      <c r="F672" s="21"/>
      <c r="G672" s="14"/>
      <c r="H672" s="15">
        <f t="shared" si="2"/>
        <v>0</v>
      </c>
      <c r="I672" s="16">
        <f t="shared" si="3"/>
        <v>23349.59</v>
      </c>
    </row>
    <row r="673" ht="22.5" customHeight="1">
      <c r="A673" s="8"/>
      <c r="B673" s="9" t="str">
        <f t="shared" si="1"/>
        <v>Dec-1899</v>
      </c>
      <c r="C673" s="10"/>
      <c r="D673" s="11"/>
      <c r="E673" s="25"/>
      <c r="F673" s="21"/>
      <c r="G673" s="14"/>
      <c r="H673" s="15">
        <f t="shared" si="2"/>
        <v>0</v>
      </c>
      <c r="I673" s="16">
        <f t="shared" si="3"/>
        <v>23349.59</v>
      </c>
    </row>
    <row r="674" ht="22.5" customHeight="1">
      <c r="A674" s="8"/>
      <c r="B674" s="9" t="str">
        <f t="shared" si="1"/>
        <v>Dec-1899</v>
      </c>
      <c r="C674" s="10"/>
      <c r="D674" s="11"/>
      <c r="E674" s="25"/>
      <c r="F674" s="21"/>
      <c r="G674" s="14"/>
      <c r="H674" s="15">
        <f t="shared" si="2"/>
        <v>0</v>
      </c>
      <c r="I674" s="16">
        <f t="shared" si="3"/>
        <v>23349.59</v>
      </c>
    </row>
    <row r="675" ht="22.5" customHeight="1">
      <c r="A675" s="8"/>
      <c r="B675" s="9" t="str">
        <f t="shared" si="1"/>
        <v>Dec-1899</v>
      </c>
      <c r="C675" s="10"/>
      <c r="D675" s="11"/>
      <c r="E675" s="25"/>
      <c r="F675" s="21"/>
      <c r="G675" s="14"/>
      <c r="H675" s="15">
        <f t="shared" si="2"/>
        <v>0</v>
      </c>
      <c r="I675" s="16">
        <f t="shared" si="3"/>
        <v>23349.59</v>
      </c>
    </row>
    <row r="676" ht="22.5" customHeight="1">
      <c r="A676" s="8"/>
      <c r="B676" s="9" t="str">
        <f t="shared" si="1"/>
        <v>Dec-1899</v>
      </c>
      <c r="C676" s="10"/>
      <c r="D676" s="11"/>
      <c r="E676" s="25"/>
      <c r="F676" s="21"/>
      <c r="G676" s="14"/>
      <c r="H676" s="15">
        <f t="shared" si="2"/>
        <v>0</v>
      </c>
      <c r="I676" s="16">
        <f t="shared" si="3"/>
        <v>23349.59</v>
      </c>
    </row>
    <row r="677" ht="22.5" customHeight="1">
      <c r="A677" s="8"/>
      <c r="B677" s="9" t="str">
        <f t="shared" si="1"/>
        <v>Dec-1899</v>
      </c>
      <c r="C677" s="10"/>
      <c r="D677" s="11"/>
      <c r="E677" s="25"/>
      <c r="F677" s="21"/>
      <c r="G677" s="14"/>
      <c r="H677" s="15">
        <f t="shared" si="2"/>
        <v>0</v>
      </c>
      <c r="I677" s="16">
        <f t="shared" si="3"/>
        <v>23349.59</v>
      </c>
    </row>
    <row r="678" ht="22.5" customHeight="1">
      <c r="A678" s="8"/>
      <c r="B678" s="9" t="str">
        <f t="shared" si="1"/>
        <v>Dec-1899</v>
      </c>
      <c r="C678" s="10"/>
      <c r="D678" s="11"/>
      <c r="E678" s="25"/>
      <c r="F678" s="21"/>
      <c r="G678" s="14"/>
      <c r="H678" s="15">
        <f t="shared" si="2"/>
        <v>0</v>
      </c>
      <c r="I678" s="16">
        <f t="shared" si="3"/>
        <v>23349.59</v>
      </c>
    </row>
    <row r="679" ht="22.5" customHeight="1">
      <c r="A679" s="8"/>
      <c r="B679" s="9" t="str">
        <f t="shared" si="1"/>
        <v>Dec-1899</v>
      </c>
      <c r="C679" s="10"/>
      <c r="D679" s="11"/>
      <c r="E679" s="25"/>
      <c r="F679" s="21"/>
      <c r="G679" s="14"/>
      <c r="H679" s="15">
        <f t="shared" si="2"/>
        <v>0</v>
      </c>
      <c r="I679" s="16">
        <f t="shared" si="3"/>
        <v>23349.59</v>
      </c>
    </row>
    <row r="680" ht="22.5" customHeight="1">
      <c r="A680" s="8"/>
      <c r="B680" s="9" t="str">
        <f t="shared" si="1"/>
        <v>Dec-1899</v>
      </c>
      <c r="C680" s="10"/>
      <c r="D680" s="11"/>
      <c r="E680" s="25"/>
      <c r="F680" s="21"/>
      <c r="G680" s="14"/>
      <c r="H680" s="15">
        <f t="shared" si="2"/>
        <v>0</v>
      </c>
      <c r="I680" s="16">
        <f t="shared" si="3"/>
        <v>23349.59</v>
      </c>
    </row>
    <row r="681" ht="22.5" customHeight="1">
      <c r="A681" s="8"/>
      <c r="B681" s="9" t="str">
        <f t="shared" si="1"/>
        <v>Dec-1899</v>
      </c>
      <c r="C681" s="10"/>
      <c r="D681" s="11"/>
      <c r="E681" s="25"/>
      <c r="F681" s="21"/>
      <c r="G681" s="14"/>
      <c r="H681" s="15">
        <f t="shared" si="2"/>
        <v>0</v>
      </c>
      <c r="I681" s="16">
        <f t="shared" si="3"/>
        <v>23349.59</v>
      </c>
    </row>
    <row r="682" ht="22.5" customHeight="1">
      <c r="A682" s="8"/>
      <c r="B682" s="9" t="str">
        <f t="shared" si="1"/>
        <v>Dec-1899</v>
      </c>
      <c r="C682" s="10"/>
      <c r="D682" s="11"/>
      <c r="E682" s="25"/>
      <c r="F682" s="21"/>
      <c r="G682" s="14"/>
      <c r="H682" s="15">
        <f t="shared" si="2"/>
        <v>0</v>
      </c>
      <c r="I682" s="16">
        <f t="shared" si="3"/>
        <v>23349.59</v>
      </c>
    </row>
    <row r="683" ht="22.5" customHeight="1">
      <c r="A683" s="8"/>
      <c r="B683" s="9" t="str">
        <f t="shared" si="1"/>
        <v>Dec-1899</v>
      </c>
      <c r="C683" s="10"/>
      <c r="D683" s="11"/>
      <c r="E683" s="25"/>
      <c r="F683" s="21"/>
      <c r="G683" s="14"/>
      <c r="H683" s="15">
        <f t="shared" si="2"/>
        <v>0</v>
      </c>
      <c r="I683" s="16">
        <f t="shared" si="3"/>
        <v>23349.59</v>
      </c>
    </row>
    <row r="684" ht="22.5" customHeight="1">
      <c r="A684" s="8"/>
      <c r="B684" s="9" t="str">
        <f t="shared" si="1"/>
        <v>Dec-1899</v>
      </c>
      <c r="C684" s="10"/>
      <c r="D684" s="11"/>
      <c r="E684" s="25"/>
      <c r="F684" s="21"/>
      <c r="G684" s="14"/>
      <c r="H684" s="15">
        <f t="shared" si="2"/>
        <v>0</v>
      </c>
      <c r="I684" s="16">
        <f t="shared" si="3"/>
        <v>23349.59</v>
      </c>
    </row>
    <row r="685" ht="22.5" customHeight="1">
      <c r="A685" s="8"/>
      <c r="B685" s="9" t="str">
        <f t="shared" si="1"/>
        <v>Dec-1899</v>
      </c>
      <c r="C685" s="10"/>
      <c r="D685" s="11"/>
      <c r="E685" s="25"/>
      <c r="F685" s="21"/>
      <c r="G685" s="14"/>
      <c r="H685" s="15">
        <f t="shared" si="2"/>
        <v>0</v>
      </c>
      <c r="I685" s="16">
        <f t="shared" si="3"/>
        <v>23349.59</v>
      </c>
    </row>
    <row r="686" ht="22.5" customHeight="1">
      <c r="A686" s="8"/>
      <c r="B686" s="9" t="str">
        <f t="shared" si="1"/>
        <v>Dec-1899</v>
      </c>
      <c r="C686" s="10"/>
      <c r="D686" s="11"/>
      <c r="E686" s="25"/>
      <c r="F686" s="21"/>
      <c r="G686" s="14"/>
      <c r="H686" s="15">
        <f t="shared" si="2"/>
        <v>0</v>
      </c>
      <c r="I686" s="16">
        <f t="shared" si="3"/>
        <v>23349.59</v>
      </c>
    </row>
    <row r="687" ht="22.5" customHeight="1">
      <c r="A687" s="8"/>
      <c r="B687" s="9" t="str">
        <f t="shared" si="1"/>
        <v>Dec-1899</v>
      </c>
      <c r="C687" s="10"/>
      <c r="D687" s="11"/>
      <c r="E687" s="25"/>
      <c r="F687" s="21"/>
      <c r="G687" s="14"/>
      <c r="H687" s="15">
        <f t="shared" si="2"/>
        <v>0</v>
      </c>
      <c r="I687" s="16">
        <f t="shared" si="3"/>
        <v>23349.59</v>
      </c>
    </row>
    <row r="688" ht="22.5" customHeight="1">
      <c r="A688" s="8"/>
      <c r="B688" s="9" t="str">
        <f t="shared" si="1"/>
        <v>Dec-1899</v>
      </c>
      <c r="C688" s="10"/>
      <c r="D688" s="11"/>
      <c r="E688" s="25"/>
      <c r="F688" s="21"/>
      <c r="G688" s="14"/>
      <c r="H688" s="15">
        <f t="shared" si="2"/>
        <v>0</v>
      </c>
      <c r="I688" s="16">
        <f t="shared" si="3"/>
        <v>23349.59</v>
      </c>
    </row>
    <row r="689" ht="22.5" customHeight="1">
      <c r="A689" s="8"/>
      <c r="B689" s="9" t="str">
        <f t="shared" si="1"/>
        <v>Dec-1899</v>
      </c>
      <c r="C689" s="10"/>
      <c r="D689" s="11"/>
      <c r="E689" s="25"/>
      <c r="F689" s="21"/>
      <c r="G689" s="14"/>
      <c r="H689" s="15">
        <f t="shared" si="2"/>
        <v>0</v>
      </c>
      <c r="I689" s="16">
        <f t="shared" si="3"/>
        <v>23349.59</v>
      </c>
    </row>
    <row r="690" ht="22.5" customHeight="1">
      <c r="A690" s="8"/>
      <c r="B690" s="9" t="str">
        <f t="shared" si="1"/>
        <v>Dec-1899</v>
      </c>
      <c r="C690" s="10"/>
      <c r="D690" s="11"/>
      <c r="E690" s="25"/>
      <c r="F690" s="21"/>
      <c r="G690" s="14"/>
      <c r="H690" s="15">
        <f t="shared" si="2"/>
        <v>0</v>
      </c>
      <c r="I690" s="16">
        <f t="shared" si="3"/>
        <v>23349.59</v>
      </c>
    </row>
    <row r="691" ht="22.5" customHeight="1">
      <c r="A691" s="8"/>
      <c r="B691" s="9" t="str">
        <f t="shared" si="1"/>
        <v>Dec-1899</v>
      </c>
      <c r="C691" s="10"/>
      <c r="D691" s="11"/>
      <c r="E691" s="25"/>
      <c r="F691" s="21"/>
      <c r="G691" s="14"/>
      <c r="H691" s="15">
        <f t="shared" si="2"/>
        <v>0</v>
      </c>
      <c r="I691" s="16">
        <f t="shared" si="3"/>
        <v>23349.59</v>
      </c>
    </row>
    <row r="692" ht="22.5" customHeight="1">
      <c r="A692" s="8"/>
      <c r="B692" s="9" t="str">
        <f t="shared" si="1"/>
        <v>Dec-1899</v>
      </c>
      <c r="C692" s="10"/>
      <c r="D692" s="11"/>
      <c r="E692" s="25"/>
      <c r="F692" s="21"/>
      <c r="G692" s="14"/>
      <c r="H692" s="15">
        <f t="shared" si="2"/>
        <v>0</v>
      </c>
      <c r="I692" s="16">
        <f t="shared" si="3"/>
        <v>23349.59</v>
      </c>
    </row>
    <row r="693" ht="22.5" customHeight="1">
      <c r="A693" s="8"/>
      <c r="B693" s="9" t="str">
        <f t="shared" si="1"/>
        <v>Dec-1899</v>
      </c>
      <c r="C693" s="10"/>
      <c r="D693" s="11"/>
      <c r="E693" s="25"/>
      <c r="F693" s="21"/>
      <c r="G693" s="14"/>
      <c r="H693" s="15">
        <f t="shared" si="2"/>
        <v>0</v>
      </c>
      <c r="I693" s="16">
        <f t="shared" si="3"/>
        <v>23349.59</v>
      </c>
    </row>
    <row r="694" ht="22.5" customHeight="1">
      <c r="A694" s="8"/>
      <c r="B694" s="9" t="str">
        <f t="shared" si="1"/>
        <v>Dec-1899</v>
      </c>
      <c r="C694" s="10"/>
      <c r="D694" s="11"/>
      <c r="E694" s="25"/>
      <c r="F694" s="21"/>
      <c r="G694" s="14"/>
      <c r="H694" s="15">
        <f t="shared" si="2"/>
        <v>0</v>
      </c>
      <c r="I694" s="16">
        <f t="shared" si="3"/>
        <v>23349.59</v>
      </c>
    </row>
    <row r="695" ht="22.5" customHeight="1">
      <c r="A695" s="8"/>
      <c r="B695" s="9" t="str">
        <f t="shared" si="1"/>
        <v>Dec-1899</v>
      </c>
      <c r="C695" s="10"/>
      <c r="D695" s="11"/>
      <c r="E695" s="25"/>
      <c r="F695" s="21"/>
      <c r="G695" s="14"/>
      <c r="H695" s="15">
        <f t="shared" si="2"/>
        <v>0</v>
      </c>
      <c r="I695" s="16">
        <f t="shared" si="3"/>
        <v>23349.59</v>
      </c>
    </row>
    <row r="696" ht="22.5" customHeight="1">
      <c r="A696" s="8"/>
      <c r="B696" s="9" t="str">
        <f t="shared" si="1"/>
        <v>Dec-1899</v>
      </c>
      <c r="C696" s="10"/>
      <c r="D696" s="11"/>
      <c r="E696" s="25"/>
      <c r="F696" s="21"/>
      <c r="G696" s="14"/>
      <c r="H696" s="15">
        <f t="shared" si="2"/>
        <v>0</v>
      </c>
      <c r="I696" s="16">
        <f t="shared" si="3"/>
        <v>23349.59</v>
      </c>
    </row>
    <row r="697" ht="22.5" customHeight="1">
      <c r="A697" s="8"/>
      <c r="B697" s="9" t="str">
        <f t="shared" si="1"/>
        <v>Dec-1899</v>
      </c>
      <c r="C697" s="10"/>
      <c r="D697" s="11"/>
      <c r="E697" s="25"/>
      <c r="F697" s="21"/>
      <c r="G697" s="14"/>
      <c r="H697" s="15">
        <f t="shared" si="2"/>
        <v>0</v>
      </c>
      <c r="I697" s="16">
        <f t="shared" si="3"/>
        <v>23349.59</v>
      </c>
    </row>
    <row r="698" ht="22.5" customHeight="1">
      <c r="A698" s="8"/>
      <c r="B698" s="9" t="str">
        <f t="shared" si="1"/>
        <v>Dec-1899</v>
      </c>
      <c r="C698" s="10"/>
      <c r="D698" s="11"/>
      <c r="E698" s="25"/>
      <c r="F698" s="21"/>
      <c r="G698" s="14"/>
      <c r="H698" s="15">
        <f t="shared" si="2"/>
        <v>0</v>
      </c>
      <c r="I698" s="16">
        <f t="shared" si="3"/>
        <v>23349.59</v>
      </c>
    </row>
    <row r="699" ht="22.5" customHeight="1">
      <c r="A699" s="8"/>
      <c r="B699" s="9" t="str">
        <f t="shared" si="1"/>
        <v>Dec-1899</v>
      </c>
      <c r="C699" s="10"/>
      <c r="D699" s="11"/>
      <c r="E699" s="25"/>
      <c r="F699" s="21"/>
      <c r="G699" s="14"/>
      <c r="H699" s="15">
        <f t="shared" si="2"/>
        <v>0</v>
      </c>
      <c r="I699" s="16">
        <f t="shared" si="3"/>
        <v>23349.59</v>
      </c>
    </row>
    <row r="700" ht="22.5" customHeight="1">
      <c r="A700" s="8"/>
      <c r="B700" s="9" t="str">
        <f t="shared" si="1"/>
        <v>Dec-1899</v>
      </c>
      <c r="C700" s="10"/>
      <c r="D700" s="11"/>
      <c r="E700" s="25"/>
      <c r="F700" s="21"/>
      <c r="G700" s="14"/>
      <c r="H700" s="15">
        <f t="shared" si="2"/>
        <v>0</v>
      </c>
      <c r="I700" s="16">
        <f t="shared" si="3"/>
        <v>23349.59</v>
      </c>
    </row>
    <row r="701" ht="22.5" customHeight="1">
      <c r="A701" s="8"/>
      <c r="B701" s="9" t="str">
        <f t="shared" si="1"/>
        <v>Dec-1899</v>
      </c>
      <c r="C701" s="10"/>
      <c r="D701" s="11"/>
      <c r="E701" s="25"/>
      <c r="F701" s="21"/>
      <c r="G701" s="14"/>
      <c r="H701" s="15">
        <f t="shared" si="2"/>
        <v>0</v>
      </c>
      <c r="I701" s="16">
        <f t="shared" si="3"/>
        <v>23349.59</v>
      </c>
    </row>
    <row r="702" ht="22.5" customHeight="1">
      <c r="A702" s="8"/>
      <c r="B702" s="9" t="str">
        <f t="shared" si="1"/>
        <v>Dec-1899</v>
      </c>
      <c r="C702" s="10"/>
      <c r="D702" s="11"/>
      <c r="E702" s="25"/>
      <c r="F702" s="21"/>
      <c r="G702" s="14"/>
      <c r="H702" s="15">
        <f t="shared" si="2"/>
        <v>0</v>
      </c>
      <c r="I702" s="16">
        <f t="shared" si="3"/>
        <v>23349.59</v>
      </c>
    </row>
    <row r="703" ht="22.5" customHeight="1">
      <c r="A703" s="8"/>
      <c r="B703" s="9" t="str">
        <f t="shared" si="1"/>
        <v>Dec-1899</v>
      </c>
      <c r="C703" s="10"/>
      <c r="D703" s="11"/>
      <c r="E703" s="25"/>
      <c r="F703" s="21"/>
      <c r="G703" s="14"/>
      <c r="H703" s="15">
        <f t="shared" si="2"/>
        <v>0</v>
      </c>
      <c r="I703" s="16">
        <f t="shared" si="3"/>
        <v>23349.59</v>
      </c>
    </row>
    <row r="704" ht="22.5" customHeight="1">
      <c r="A704" s="8"/>
      <c r="B704" s="9" t="str">
        <f t="shared" si="1"/>
        <v>Dec-1899</v>
      </c>
      <c r="C704" s="10"/>
      <c r="D704" s="11"/>
      <c r="E704" s="25"/>
      <c r="F704" s="21"/>
      <c r="G704" s="14"/>
      <c r="H704" s="15">
        <f t="shared" si="2"/>
        <v>0</v>
      </c>
      <c r="I704" s="16">
        <f t="shared" si="3"/>
        <v>23349.59</v>
      </c>
    </row>
    <row r="705" ht="22.5" customHeight="1">
      <c r="A705" s="8"/>
      <c r="B705" s="9" t="str">
        <f t="shared" si="1"/>
        <v>Dec-1899</v>
      </c>
      <c r="C705" s="10"/>
      <c r="D705" s="11"/>
      <c r="E705" s="25"/>
      <c r="F705" s="21"/>
      <c r="G705" s="14"/>
      <c r="H705" s="15">
        <f t="shared" si="2"/>
        <v>0</v>
      </c>
      <c r="I705" s="16">
        <f t="shared" si="3"/>
        <v>23349.59</v>
      </c>
    </row>
    <row r="706" ht="22.5" customHeight="1">
      <c r="A706" s="8"/>
      <c r="B706" s="9" t="str">
        <f t="shared" si="1"/>
        <v>Dec-1899</v>
      </c>
      <c r="C706" s="10"/>
      <c r="D706" s="11"/>
      <c r="E706" s="25"/>
      <c r="F706" s="21"/>
      <c r="G706" s="14"/>
      <c r="H706" s="15">
        <f t="shared" si="2"/>
        <v>0</v>
      </c>
      <c r="I706" s="16">
        <f t="shared" si="3"/>
        <v>23349.59</v>
      </c>
    </row>
    <row r="707" ht="22.5" customHeight="1">
      <c r="A707" s="8"/>
      <c r="B707" s="9" t="str">
        <f t="shared" si="1"/>
        <v>Dec-1899</v>
      </c>
      <c r="C707" s="10"/>
      <c r="D707" s="11"/>
      <c r="E707" s="25"/>
      <c r="F707" s="21"/>
      <c r="G707" s="14"/>
      <c r="H707" s="15">
        <f t="shared" si="2"/>
        <v>0</v>
      </c>
      <c r="I707" s="16">
        <f t="shared" si="3"/>
        <v>23349.59</v>
      </c>
    </row>
    <row r="708" ht="22.5" customHeight="1">
      <c r="A708" s="8"/>
      <c r="B708" s="9" t="str">
        <f t="shared" si="1"/>
        <v>Dec-1899</v>
      </c>
      <c r="C708" s="10"/>
      <c r="D708" s="11"/>
      <c r="E708" s="25"/>
      <c r="F708" s="21"/>
      <c r="G708" s="14"/>
      <c r="H708" s="15">
        <f t="shared" si="2"/>
        <v>0</v>
      </c>
      <c r="I708" s="16">
        <f t="shared" si="3"/>
        <v>23349.59</v>
      </c>
    </row>
    <row r="709" ht="22.5" customHeight="1">
      <c r="A709" s="8"/>
      <c r="B709" s="9" t="str">
        <f t="shared" si="1"/>
        <v>Dec-1899</v>
      </c>
      <c r="C709" s="10"/>
      <c r="D709" s="11"/>
      <c r="E709" s="25"/>
      <c r="F709" s="21"/>
      <c r="G709" s="14"/>
      <c r="H709" s="15">
        <f t="shared" si="2"/>
        <v>0</v>
      </c>
      <c r="I709" s="16">
        <f t="shared" si="3"/>
        <v>23349.59</v>
      </c>
    </row>
    <row r="710" ht="22.5" customHeight="1">
      <c r="A710" s="8"/>
      <c r="B710" s="9" t="str">
        <f t="shared" si="1"/>
        <v>Dec-1899</v>
      </c>
      <c r="C710" s="10"/>
      <c r="D710" s="11"/>
      <c r="E710" s="25"/>
      <c r="F710" s="21"/>
      <c r="G710" s="14"/>
      <c r="H710" s="15">
        <f t="shared" si="2"/>
        <v>0</v>
      </c>
      <c r="I710" s="16">
        <f t="shared" si="3"/>
        <v>23349.59</v>
      </c>
    </row>
    <row r="711" ht="22.5" customHeight="1">
      <c r="A711" s="8"/>
      <c r="B711" s="9" t="str">
        <f t="shared" si="1"/>
        <v>Dec-1899</v>
      </c>
      <c r="C711" s="10"/>
      <c r="D711" s="11"/>
      <c r="E711" s="25"/>
      <c r="F711" s="21"/>
      <c r="G711" s="14"/>
      <c r="H711" s="15">
        <f t="shared" si="2"/>
        <v>0</v>
      </c>
      <c r="I711" s="16">
        <f t="shared" si="3"/>
        <v>23349.59</v>
      </c>
    </row>
    <row r="712" ht="22.5" customHeight="1">
      <c r="A712" s="8"/>
      <c r="B712" s="9" t="str">
        <f t="shared" si="1"/>
        <v>Dec-1899</v>
      </c>
      <c r="C712" s="10"/>
      <c r="D712" s="11"/>
      <c r="E712" s="25"/>
      <c r="F712" s="21"/>
      <c r="G712" s="14"/>
      <c r="H712" s="15">
        <f t="shared" si="2"/>
        <v>0</v>
      </c>
      <c r="I712" s="16">
        <f t="shared" si="3"/>
        <v>23349.59</v>
      </c>
    </row>
    <row r="713" ht="22.5" customHeight="1">
      <c r="A713" s="8"/>
      <c r="B713" s="9" t="str">
        <f t="shared" si="1"/>
        <v>Dec-1899</v>
      </c>
      <c r="C713" s="10"/>
      <c r="D713" s="11"/>
      <c r="E713" s="25"/>
      <c r="F713" s="21"/>
      <c r="G713" s="14"/>
      <c r="H713" s="15">
        <f t="shared" si="2"/>
        <v>0</v>
      </c>
      <c r="I713" s="16">
        <f t="shared" si="3"/>
        <v>23349.59</v>
      </c>
    </row>
    <row r="714" ht="22.5" customHeight="1">
      <c r="A714" s="8"/>
      <c r="B714" s="9" t="str">
        <f t="shared" si="1"/>
        <v>Dec-1899</v>
      </c>
      <c r="C714" s="10"/>
      <c r="D714" s="11"/>
      <c r="E714" s="25"/>
      <c r="F714" s="21"/>
      <c r="G714" s="14"/>
      <c r="H714" s="15">
        <f t="shared" si="2"/>
        <v>0</v>
      </c>
      <c r="I714" s="16">
        <f t="shared" si="3"/>
        <v>23349.59</v>
      </c>
    </row>
    <row r="715" ht="22.5" customHeight="1">
      <c r="A715" s="8"/>
      <c r="B715" s="9" t="str">
        <f t="shared" si="1"/>
        <v>Dec-1899</v>
      </c>
      <c r="C715" s="10"/>
      <c r="D715" s="11"/>
      <c r="E715" s="25"/>
      <c r="F715" s="21"/>
      <c r="G715" s="14"/>
      <c r="H715" s="15">
        <f t="shared" si="2"/>
        <v>0</v>
      </c>
      <c r="I715" s="16">
        <f t="shared" si="3"/>
        <v>23349.59</v>
      </c>
    </row>
    <row r="716" ht="22.5" customHeight="1">
      <c r="A716" s="8"/>
      <c r="B716" s="9" t="str">
        <f t="shared" si="1"/>
        <v>Dec-1899</v>
      </c>
      <c r="C716" s="10"/>
      <c r="D716" s="11"/>
      <c r="E716" s="25"/>
      <c r="F716" s="21"/>
      <c r="G716" s="14"/>
      <c r="H716" s="15">
        <f t="shared" si="2"/>
        <v>0</v>
      </c>
      <c r="I716" s="16">
        <f t="shared" si="3"/>
        <v>23349.59</v>
      </c>
    </row>
    <row r="717" ht="22.5" customHeight="1">
      <c r="A717" s="8"/>
      <c r="B717" s="9" t="str">
        <f t="shared" si="1"/>
        <v>Dec-1899</v>
      </c>
      <c r="C717" s="10"/>
      <c r="D717" s="11"/>
      <c r="E717" s="25"/>
      <c r="F717" s="21"/>
      <c r="G717" s="14"/>
      <c r="H717" s="15">
        <f t="shared" si="2"/>
        <v>0</v>
      </c>
      <c r="I717" s="16">
        <f t="shared" si="3"/>
        <v>23349.59</v>
      </c>
    </row>
    <row r="718" ht="22.5" customHeight="1">
      <c r="A718" s="8"/>
      <c r="B718" s="9" t="str">
        <f t="shared" si="1"/>
        <v>Dec-1899</v>
      </c>
      <c r="C718" s="10"/>
      <c r="D718" s="11"/>
      <c r="E718" s="25"/>
      <c r="F718" s="21"/>
      <c r="G718" s="14"/>
      <c r="H718" s="15">
        <f t="shared" si="2"/>
        <v>0</v>
      </c>
      <c r="I718" s="16">
        <f t="shared" si="3"/>
        <v>23349.59</v>
      </c>
    </row>
    <row r="719" ht="22.5" customHeight="1">
      <c r="A719" s="8"/>
      <c r="B719" s="9" t="str">
        <f t="shared" si="1"/>
        <v>Dec-1899</v>
      </c>
      <c r="C719" s="10"/>
      <c r="D719" s="11"/>
      <c r="E719" s="25"/>
      <c r="F719" s="21"/>
      <c r="G719" s="14"/>
      <c r="H719" s="15">
        <f t="shared" si="2"/>
        <v>0</v>
      </c>
      <c r="I719" s="16">
        <f t="shared" si="3"/>
        <v>23349.59</v>
      </c>
    </row>
    <row r="720" ht="22.5" customHeight="1">
      <c r="A720" s="8"/>
      <c r="B720" s="9" t="str">
        <f t="shared" si="1"/>
        <v>Dec-1899</v>
      </c>
      <c r="C720" s="10"/>
      <c r="D720" s="11"/>
      <c r="E720" s="25"/>
      <c r="F720" s="21"/>
      <c r="G720" s="14"/>
      <c r="H720" s="15">
        <f t="shared" si="2"/>
        <v>0</v>
      </c>
      <c r="I720" s="16">
        <f t="shared" si="3"/>
        <v>23349.59</v>
      </c>
    </row>
    <row r="721" ht="22.5" customHeight="1">
      <c r="A721" s="8"/>
      <c r="B721" s="9" t="str">
        <f t="shared" si="1"/>
        <v>Dec-1899</v>
      </c>
      <c r="C721" s="10"/>
      <c r="D721" s="11"/>
      <c r="E721" s="25"/>
      <c r="F721" s="21"/>
      <c r="G721" s="14"/>
      <c r="H721" s="15">
        <f t="shared" si="2"/>
        <v>0</v>
      </c>
      <c r="I721" s="16">
        <f t="shared" si="3"/>
        <v>23349.59</v>
      </c>
    </row>
    <row r="722" ht="22.5" customHeight="1">
      <c r="A722" s="8"/>
      <c r="B722" s="9" t="str">
        <f t="shared" si="1"/>
        <v>Dec-1899</v>
      </c>
      <c r="C722" s="10"/>
      <c r="D722" s="11"/>
      <c r="E722" s="25"/>
      <c r="F722" s="21"/>
      <c r="G722" s="14"/>
      <c r="H722" s="15">
        <f t="shared" si="2"/>
        <v>0</v>
      </c>
      <c r="I722" s="16">
        <f t="shared" si="3"/>
        <v>23349.59</v>
      </c>
    </row>
    <row r="723" ht="22.5" customHeight="1">
      <c r="A723" s="8"/>
      <c r="B723" s="9" t="str">
        <f t="shared" si="1"/>
        <v>Dec-1899</v>
      </c>
      <c r="C723" s="10"/>
      <c r="D723" s="11"/>
      <c r="E723" s="25"/>
      <c r="F723" s="21"/>
      <c r="G723" s="14"/>
      <c r="H723" s="15">
        <f t="shared" si="2"/>
        <v>0</v>
      </c>
      <c r="I723" s="16">
        <f t="shared" si="3"/>
        <v>23349.59</v>
      </c>
    </row>
    <row r="724" ht="22.5" customHeight="1">
      <c r="A724" s="8"/>
      <c r="B724" s="9" t="str">
        <f t="shared" si="1"/>
        <v>Dec-1899</v>
      </c>
      <c r="C724" s="10"/>
      <c r="D724" s="11"/>
      <c r="E724" s="25"/>
      <c r="F724" s="21"/>
      <c r="G724" s="14"/>
      <c r="H724" s="15">
        <f t="shared" si="2"/>
        <v>0</v>
      </c>
      <c r="I724" s="16">
        <f t="shared" si="3"/>
        <v>23349.59</v>
      </c>
    </row>
    <row r="725" ht="22.5" customHeight="1">
      <c r="A725" s="8"/>
      <c r="B725" s="9" t="str">
        <f t="shared" si="1"/>
        <v>Dec-1899</v>
      </c>
      <c r="C725" s="10"/>
      <c r="D725" s="11"/>
      <c r="E725" s="25"/>
      <c r="F725" s="21"/>
      <c r="G725" s="14"/>
      <c r="H725" s="15">
        <f t="shared" si="2"/>
        <v>0</v>
      </c>
      <c r="I725" s="16">
        <f t="shared" si="3"/>
        <v>23349.59</v>
      </c>
    </row>
    <row r="726" ht="22.5" customHeight="1">
      <c r="A726" s="8"/>
      <c r="B726" s="9" t="str">
        <f t="shared" si="1"/>
        <v>Dec-1899</v>
      </c>
      <c r="C726" s="10"/>
      <c r="D726" s="11"/>
      <c r="E726" s="25"/>
      <c r="F726" s="21"/>
      <c r="G726" s="14"/>
      <c r="H726" s="15">
        <f t="shared" si="2"/>
        <v>0</v>
      </c>
      <c r="I726" s="16">
        <f t="shared" si="3"/>
        <v>23349.59</v>
      </c>
    </row>
    <row r="727" ht="22.5" customHeight="1">
      <c r="A727" s="8"/>
      <c r="B727" s="9" t="str">
        <f t="shared" si="1"/>
        <v>Dec-1899</v>
      </c>
      <c r="C727" s="10"/>
      <c r="D727" s="11"/>
      <c r="E727" s="25"/>
      <c r="F727" s="21"/>
      <c r="G727" s="14"/>
      <c r="H727" s="15">
        <f t="shared" si="2"/>
        <v>0</v>
      </c>
      <c r="I727" s="16">
        <f t="shared" si="3"/>
        <v>23349.59</v>
      </c>
    </row>
    <row r="728" ht="22.5" customHeight="1">
      <c r="A728" s="8"/>
      <c r="B728" s="9" t="str">
        <f t="shared" si="1"/>
        <v>Dec-1899</v>
      </c>
      <c r="C728" s="10"/>
      <c r="D728" s="11"/>
      <c r="E728" s="25"/>
      <c r="F728" s="21"/>
      <c r="G728" s="14"/>
      <c r="H728" s="15">
        <f t="shared" si="2"/>
        <v>0</v>
      </c>
      <c r="I728" s="16">
        <f t="shared" si="3"/>
        <v>23349.59</v>
      </c>
    </row>
    <row r="729" ht="22.5" customHeight="1">
      <c r="A729" s="8"/>
      <c r="B729" s="9" t="str">
        <f t="shared" si="1"/>
        <v>Dec-1899</v>
      </c>
      <c r="C729" s="10"/>
      <c r="D729" s="11"/>
      <c r="E729" s="25"/>
      <c r="F729" s="21"/>
      <c r="G729" s="14"/>
      <c r="H729" s="15">
        <f t="shared" si="2"/>
        <v>0</v>
      </c>
      <c r="I729" s="16">
        <f t="shared" si="3"/>
        <v>23349.59</v>
      </c>
    </row>
    <row r="730" ht="22.5" customHeight="1">
      <c r="A730" s="8"/>
      <c r="B730" s="9" t="str">
        <f t="shared" si="1"/>
        <v>Dec-1899</v>
      </c>
      <c r="C730" s="10"/>
      <c r="D730" s="11"/>
      <c r="E730" s="25"/>
      <c r="F730" s="21"/>
      <c r="G730" s="14"/>
      <c r="H730" s="15">
        <f t="shared" si="2"/>
        <v>0</v>
      </c>
      <c r="I730" s="16">
        <f t="shared" si="3"/>
        <v>23349.59</v>
      </c>
    </row>
    <row r="731" ht="22.5" customHeight="1">
      <c r="A731" s="8"/>
      <c r="B731" s="9" t="str">
        <f t="shared" si="1"/>
        <v>Dec-1899</v>
      </c>
      <c r="C731" s="10"/>
      <c r="D731" s="11"/>
      <c r="E731" s="25"/>
      <c r="F731" s="21"/>
      <c r="G731" s="14"/>
      <c r="H731" s="15">
        <f t="shared" si="2"/>
        <v>0</v>
      </c>
      <c r="I731" s="16">
        <f t="shared" si="3"/>
        <v>23349.59</v>
      </c>
    </row>
    <row r="732" ht="22.5" customHeight="1">
      <c r="A732" s="8"/>
      <c r="B732" s="9" t="str">
        <f t="shared" si="1"/>
        <v>Dec-1899</v>
      </c>
      <c r="C732" s="10"/>
      <c r="D732" s="11"/>
      <c r="E732" s="25"/>
      <c r="F732" s="21"/>
      <c r="G732" s="14"/>
      <c r="H732" s="15">
        <f t="shared" si="2"/>
        <v>0</v>
      </c>
      <c r="I732" s="16">
        <f t="shared" si="3"/>
        <v>23349.59</v>
      </c>
    </row>
    <row r="733" ht="22.5" customHeight="1">
      <c r="A733" s="8"/>
      <c r="B733" s="9" t="str">
        <f t="shared" si="1"/>
        <v>Dec-1899</v>
      </c>
      <c r="C733" s="10"/>
      <c r="D733" s="11"/>
      <c r="E733" s="25"/>
      <c r="F733" s="21"/>
      <c r="G733" s="14"/>
      <c r="H733" s="15">
        <f t="shared" si="2"/>
        <v>0</v>
      </c>
      <c r="I733" s="16">
        <f t="shared" si="3"/>
        <v>23349.59</v>
      </c>
    </row>
    <row r="734" ht="22.5" customHeight="1">
      <c r="A734" s="8"/>
      <c r="B734" s="9" t="str">
        <f t="shared" si="1"/>
        <v>Dec-1899</v>
      </c>
      <c r="C734" s="10"/>
      <c r="D734" s="11"/>
      <c r="E734" s="25"/>
      <c r="F734" s="21"/>
      <c r="G734" s="14"/>
      <c r="H734" s="15">
        <f t="shared" si="2"/>
        <v>0</v>
      </c>
      <c r="I734" s="16">
        <f t="shared" si="3"/>
        <v>23349.59</v>
      </c>
    </row>
    <row r="735" ht="22.5" customHeight="1">
      <c r="A735" s="8"/>
      <c r="B735" s="9" t="str">
        <f t="shared" si="1"/>
        <v>Dec-1899</v>
      </c>
      <c r="C735" s="10"/>
      <c r="D735" s="11"/>
      <c r="E735" s="25"/>
      <c r="F735" s="21"/>
      <c r="G735" s="14"/>
      <c r="H735" s="15">
        <f t="shared" si="2"/>
        <v>0</v>
      </c>
      <c r="I735" s="16">
        <f t="shared" si="3"/>
        <v>23349.59</v>
      </c>
    </row>
    <row r="736" ht="22.5" customHeight="1">
      <c r="A736" s="8"/>
      <c r="B736" s="9" t="str">
        <f t="shared" si="1"/>
        <v>Dec-1899</v>
      </c>
      <c r="C736" s="10"/>
      <c r="D736" s="11"/>
      <c r="E736" s="25"/>
      <c r="F736" s="21"/>
      <c r="G736" s="14"/>
      <c r="H736" s="15">
        <f t="shared" si="2"/>
        <v>0</v>
      </c>
      <c r="I736" s="16">
        <f t="shared" si="3"/>
        <v>23349.59</v>
      </c>
    </row>
    <row r="737" ht="22.5" customHeight="1">
      <c r="A737" s="8"/>
      <c r="B737" s="9" t="str">
        <f t="shared" si="1"/>
        <v>Dec-1899</v>
      </c>
      <c r="C737" s="10"/>
      <c r="D737" s="11"/>
      <c r="E737" s="25"/>
      <c r="F737" s="21"/>
      <c r="G737" s="14"/>
      <c r="H737" s="15">
        <f t="shared" si="2"/>
        <v>0</v>
      </c>
      <c r="I737" s="16">
        <f t="shared" si="3"/>
        <v>23349.59</v>
      </c>
    </row>
    <row r="738" ht="22.5" customHeight="1">
      <c r="A738" s="8"/>
      <c r="B738" s="9" t="str">
        <f t="shared" si="1"/>
        <v>Dec-1899</v>
      </c>
      <c r="C738" s="10"/>
      <c r="D738" s="11"/>
      <c r="E738" s="25"/>
      <c r="F738" s="21"/>
      <c r="G738" s="14"/>
      <c r="H738" s="15">
        <f t="shared" si="2"/>
        <v>0</v>
      </c>
      <c r="I738" s="16">
        <f t="shared" si="3"/>
        <v>23349.59</v>
      </c>
    </row>
    <row r="739" ht="22.5" customHeight="1">
      <c r="A739" s="8"/>
      <c r="B739" s="9" t="str">
        <f t="shared" si="1"/>
        <v>Dec-1899</v>
      </c>
      <c r="C739" s="10"/>
      <c r="D739" s="11"/>
      <c r="E739" s="25"/>
      <c r="F739" s="21"/>
      <c r="G739" s="14"/>
      <c r="H739" s="15">
        <f t="shared" si="2"/>
        <v>0</v>
      </c>
      <c r="I739" s="16">
        <f t="shared" si="3"/>
        <v>23349.59</v>
      </c>
    </row>
    <row r="740" ht="22.5" customHeight="1">
      <c r="A740" s="8"/>
      <c r="B740" s="9" t="str">
        <f t="shared" si="1"/>
        <v>Dec-1899</v>
      </c>
      <c r="C740" s="10"/>
      <c r="D740" s="11"/>
      <c r="E740" s="25"/>
      <c r="F740" s="21"/>
      <c r="G740" s="14"/>
      <c r="H740" s="15">
        <f t="shared" si="2"/>
        <v>0</v>
      </c>
      <c r="I740" s="16">
        <f t="shared" si="3"/>
        <v>23349.59</v>
      </c>
    </row>
    <row r="741" ht="22.5" customHeight="1">
      <c r="A741" s="8"/>
      <c r="B741" s="9" t="str">
        <f t="shared" si="1"/>
        <v>Dec-1899</v>
      </c>
      <c r="C741" s="10"/>
      <c r="D741" s="11"/>
      <c r="E741" s="25"/>
      <c r="F741" s="21"/>
      <c r="G741" s="14"/>
      <c r="H741" s="15">
        <f t="shared" si="2"/>
        <v>0</v>
      </c>
      <c r="I741" s="16">
        <f t="shared" si="3"/>
        <v>23349.59</v>
      </c>
    </row>
    <row r="742" ht="22.5" customHeight="1">
      <c r="A742" s="8"/>
      <c r="B742" s="9" t="str">
        <f t="shared" si="1"/>
        <v>Dec-1899</v>
      </c>
      <c r="C742" s="10"/>
      <c r="D742" s="11"/>
      <c r="E742" s="25"/>
      <c r="F742" s="21"/>
      <c r="G742" s="14"/>
      <c r="H742" s="15">
        <f t="shared" si="2"/>
        <v>0</v>
      </c>
      <c r="I742" s="16">
        <f t="shared" si="3"/>
        <v>23349.59</v>
      </c>
    </row>
    <row r="743" ht="22.5" customHeight="1">
      <c r="A743" s="8"/>
      <c r="B743" s="9" t="str">
        <f t="shared" si="1"/>
        <v>Dec-1899</v>
      </c>
      <c r="C743" s="10"/>
      <c r="D743" s="11"/>
      <c r="E743" s="25"/>
      <c r="F743" s="21"/>
      <c r="G743" s="14"/>
      <c r="H743" s="15">
        <f t="shared" si="2"/>
        <v>0</v>
      </c>
      <c r="I743" s="16">
        <f t="shared" si="3"/>
        <v>23349.59</v>
      </c>
    </row>
    <row r="744" ht="22.5" customHeight="1">
      <c r="A744" s="8"/>
      <c r="B744" s="9" t="str">
        <f t="shared" si="1"/>
        <v>Dec-1899</v>
      </c>
      <c r="C744" s="10"/>
      <c r="D744" s="11"/>
      <c r="E744" s="25"/>
      <c r="F744" s="21"/>
      <c r="G744" s="14"/>
      <c r="H744" s="15">
        <f t="shared" si="2"/>
        <v>0</v>
      </c>
      <c r="I744" s="16">
        <f t="shared" si="3"/>
        <v>23349.59</v>
      </c>
    </row>
    <row r="745" ht="22.5" customHeight="1">
      <c r="A745" s="8"/>
      <c r="B745" s="9" t="str">
        <f t="shared" si="1"/>
        <v>Dec-1899</v>
      </c>
      <c r="C745" s="10"/>
      <c r="D745" s="11"/>
      <c r="E745" s="25"/>
      <c r="F745" s="21"/>
      <c r="G745" s="14"/>
      <c r="H745" s="15">
        <f t="shared" si="2"/>
        <v>0</v>
      </c>
      <c r="I745" s="16">
        <f t="shared" si="3"/>
        <v>23349.59</v>
      </c>
    </row>
    <row r="746" ht="22.5" customHeight="1">
      <c r="A746" s="8"/>
      <c r="B746" s="9" t="str">
        <f t="shared" si="1"/>
        <v>Dec-1899</v>
      </c>
      <c r="C746" s="10"/>
      <c r="D746" s="11"/>
      <c r="E746" s="25"/>
      <c r="F746" s="21"/>
      <c r="G746" s="14"/>
      <c r="H746" s="15">
        <f t="shared" si="2"/>
        <v>0</v>
      </c>
      <c r="I746" s="16">
        <f t="shared" si="3"/>
        <v>23349.59</v>
      </c>
    </row>
    <row r="747" ht="22.5" customHeight="1">
      <c r="A747" s="8"/>
      <c r="B747" s="9" t="str">
        <f t="shared" si="1"/>
        <v>Dec-1899</v>
      </c>
      <c r="C747" s="10"/>
      <c r="D747" s="11"/>
      <c r="E747" s="25"/>
      <c r="F747" s="21"/>
      <c r="G747" s="14"/>
      <c r="H747" s="15">
        <f t="shared" si="2"/>
        <v>0</v>
      </c>
      <c r="I747" s="16">
        <f t="shared" si="3"/>
        <v>23349.59</v>
      </c>
    </row>
    <row r="748" ht="22.5" customHeight="1">
      <c r="A748" s="8"/>
      <c r="B748" s="9" t="str">
        <f t="shared" si="1"/>
        <v>Dec-1899</v>
      </c>
      <c r="C748" s="10"/>
      <c r="D748" s="11"/>
      <c r="E748" s="25"/>
      <c r="F748" s="21"/>
      <c r="G748" s="14"/>
      <c r="H748" s="15">
        <f t="shared" si="2"/>
        <v>0</v>
      </c>
      <c r="I748" s="16">
        <f t="shared" si="3"/>
        <v>23349.59</v>
      </c>
    </row>
    <row r="749" ht="22.5" customHeight="1">
      <c r="A749" s="8"/>
      <c r="B749" s="9" t="str">
        <f t="shared" si="1"/>
        <v>Dec-1899</v>
      </c>
      <c r="C749" s="10"/>
      <c r="D749" s="11"/>
      <c r="E749" s="25"/>
      <c r="F749" s="21"/>
      <c r="G749" s="14"/>
      <c r="H749" s="15">
        <f t="shared" si="2"/>
        <v>0</v>
      </c>
      <c r="I749" s="16">
        <f t="shared" si="3"/>
        <v>23349.59</v>
      </c>
    </row>
    <row r="750" ht="22.5" customHeight="1">
      <c r="A750" s="8"/>
      <c r="B750" s="9" t="str">
        <f t="shared" si="1"/>
        <v>Dec-1899</v>
      </c>
      <c r="C750" s="10"/>
      <c r="D750" s="11"/>
      <c r="E750" s="25"/>
      <c r="F750" s="21"/>
      <c r="G750" s="14"/>
      <c r="H750" s="15">
        <f t="shared" si="2"/>
        <v>0</v>
      </c>
      <c r="I750" s="16">
        <f t="shared" si="3"/>
        <v>23349.59</v>
      </c>
    </row>
    <row r="751" ht="22.5" customHeight="1">
      <c r="A751" s="8"/>
      <c r="B751" s="9" t="str">
        <f t="shared" si="1"/>
        <v>Dec-1899</v>
      </c>
      <c r="C751" s="10"/>
      <c r="D751" s="11"/>
      <c r="E751" s="25"/>
      <c r="F751" s="21"/>
      <c r="G751" s="14"/>
      <c r="H751" s="15">
        <f t="shared" si="2"/>
        <v>0</v>
      </c>
      <c r="I751" s="16">
        <f t="shared" si="3"/>
        <v>23349.59</v>
      </c>
    </row>
    <row r="752" ht="22.5" customHeight="1">
      <c r="A752" s="8"/>
      <c r="B752" s="9" t="str">
        <f t="shared" si="1"/>
        <v>Dec-1899</v>
      </c>
      <c r="C752" s="10"/>
      <c r="D752" s="11"/>
      <c r="E752" s="25"/>
      <c r="F752" s="21"/>
      <c r="G752" s="14"/>
      <c r="H752" s="15">
        <f t="shared" si="2"/>
        <v>0</v>
      </c>
      <c r="I752" s="16">
        <f t="shared" si="3"/>
        <v>23349.59</v>
      </c>
    </row>
    <row r="753" ht="22.5" customHeight="1">
      <c r="A753" s="8"/>
      <c r="B753" s="9" t="str">
        <f t="shared" si="1"/>
        <v>Dec-1899</v>
      </c>
      <c r="C753" s="10"/>
      <c r="D753" s="11"/>
      <c r="E753" s="25"/>
      <c r="F753" s="21"/>
      <c r="G753" s="14"/>
      <c r="H753" s="15">
        <f t="shared" si="2"/>
        <v>0</v>
      </c>
      <c r="I753" s="16">
        <f t="shared" si="3"/>
        <v>23349.59</v>
      </c>
    </row>
    <row r="754" ht="22.5" customHeight="1">
      <c r="A754" s="8"/>
      <c r="B754" s="9" t="str">
        <f t="shared" si="1"/>
        <v>Dec-1899</v>
      </c>
      <c r="C754" s="10"/>
      <c r="D754" s="11"/>
      <c r="E754" s="25"/>
      <c r="F754" s="21"/>
      <c r="G754" s="14"/>
      <c r="H754" s="15">
        <f t="shared" si="2"/>
        <v>0</v>
      </c>
      <c r="I754" s="16">
        <f t="shared" si="3"/>
        <v>23349.59</v>
      </c>
    </row>
    <row r="755" ht="22.5" customHeight="1">
      <c r="A755" s="8"/>
      <c r="B755" s="9" t="str">
        <f t="shared" si="1"/>
        <v>Dec-1899</v>
      </c>
      <c r="C755" s="10"/>
      <c r="D755" s="11"/>
      <c r="E755" s="25"/>
      <c r="F755" s="21"/>
      <c r="G755" s="14"/>
      <c r="H755" s="15">
        <f t="shared" si="2"/>
        <v>0</v>
      </c>
      <c r="I755" s="16">
        <f t="shared" si="3"/>
        <v>23349.59</v>
      </c>
    </row>
    <row r="756" ht="22.5" customHeight="1">
      <c r="A756" s="8"/>
      <c r="B756" s="9" t="str">
        <f t="shared" si="1"/>
        <v>Dec-1899</v>
      </c>
      <c r="C756" s="10"/>
      <c r="D756" s="11"/>
      <c r="E756" s="25"/>
      <c r="F756" s="21"/>
      <c r="G756" s="14"/>
      <c r="H756" s="15">
        <f t="shared" si="2"/>
        <v>0</v>
      </c>
      <c r="I756" s="16">
        <f t="shared" si="3"/>
        <v>23349.59</v>
      </c>
    </row>
    <row r="757" ht="22.5" customHeight="1">
      <c r="A757" s="8"/>
      <c r="B757" s="9" t="str">
        <f t="shared" si="1"/>
        <v>Dec-1899</v>
      </c>
      <c r="C757" s="10"/>
      <c r="D757" s="11"/>
      <c r="E757" s="25"/>
      <c r="F757" s="21"/>
      <c r="G757" s="14"/>
      <c r="H757" s="15">
        <f t="shared" si="2"/>
        <v>0</v>
      </c>
      <c r="I757" s="16">
        <f t="shared" si="3"/>
        <v>23349.59</v>
      </c>
    </row>
    <row r="758" ht="22.5" customHeight="1">
      <c r="A758" s="8"/>
      <c r="B758" s="9" t="str">
        <f t="shared" si="1"/>
        <v>Dec-1899</v>
      </c>
      <c r="C758" s="10"/>
      <c r="D758" s="11"/>
      <c r="E758" s="25"/>
      <c r="F758" s="21"/>
      <c r="G758" s="14"/>
      <c r="H758" s="15">
        <f t="shared" si="2"/>
        <v>0</v>
      </c>
      <c r="I758" s="16">
        <f t="shared" si="3"/>
        <v>23349.59</v>
      </c>
    </row>
    <row r="759" ht="22.5" customHeight="1">
      <c r="A759" s="8"/>
      <c r="B759" s="9" t="str">
        <f t="shared" si="1"/>
        <v>Dec-1899</v>
      </c>
      <c r="C759" s="10"/>
      <c r="D759" s="11"/>
      <c r="E759" s="25"/>
      <c r="F759" s="21"/>
      <c r="G759" s="14"/>
      <c r="H759" s="15">
        <f t="shared" si="2"/>
        <v>0</v>
      </c>
      <c r="I759" s="16">
        <f t="shared" si="3"/>
        <v>23349.59</v>
      </c>
    </row>
    <row r="760" ht="22.5" customHeight="1">
      <c r="A760" s="8"/>
      <c r="B760" s="9" t="str">
        <f t="shared" si="1"/>
        <v>Dec-1899</v>
      </c>
      <c r="C760" s="10"/>
      <c r="D760" s="11"/>
      <c r="E760" s="25"/>
      <c r="F760" s="21"/>
      <c r="G760" s="14"/>
      <c r="H760" s="15">
        <f t="shared" si="2"/>
        <v>0</v>
      </c>
      <c r="I760" s="16">
        <f t="shared" si="3"/>
        <v>23349.59</v>
      </c>
    </row>
    <row r="761" ht="22.5" customHeight="1">
      <c r="A761" s="8"/>
      <c r="B761" s="9" t="str">
        <f t="shared" si="1"/>
        <v>Dec-1899</v>
      </c>
      <c r="C761" s="10"/>
      <c r="D761" s="11"/>
      <c r="E761" s="25"/>
      <c r="F761" s="21"/>
      <c r="G761" s="14"/>
      <c r="H761" s="15">
        <f t="shared" si="2"/>
        <v>0</v>
      </c>
      <c r="I761" s="16">
        <f t="shared" si="3"/>
        <v>23349.59</v>
      </c>
    </row>
    <row r="762" ht="22.5" customHeight="1">
      <c r="A762" s="8"/>
      <c r="B762" s="9" t="str">
        <f t="shared" si="1"/>
        <v>Dec-1899</v>
      </c>
      <c r="C762" s="10"/>
      <c r="D762" s="11"/>
      <c r="E762" s="25"/>
      <c r="F762" s="21"/>
      <c r="G762" s="14"/>
      <c r="H762" s="15">
        <f t="shared" si="2"/>
        <v>0</v>
      </c>
      <c r="I762" s="16">
        <f t="shared" si="3"/>
        <v>23349.59</v>
      </c>
    </row>
    <row r="763" ht="22.5" customHeight="1">
      <c r="A763" s="8"/>
      <c r="B763" s="9" t="str">
        <f t="shared" si="1"/>
        <v>Dec-1899</v>
      </c>
      <c r="C763" s="10"/>
      <c r="D763" s="11"/>
      <c r="E763" s="25"/>
      <c r="F763" s="21"/>
      <c r="G763" s="14"/>
      <c r="H763" s="15">
        <f t="shared" si="2"/>
        <v>0</v>
      </c>
      <c r="I763" s="16">
        <f t="shared" si="3"/>
        <v>23349.59</v>
      </c>
    </row>
    <row r="764" ht="22.5" customHeight="1">
      <c r="A764" s="8"/>
      <c r="B764" s="9" t="str">
        <f t="shared" si="1"/>
        <v>Dec-1899</v>
      </c>
      <c r="C764" s="10"/>
      <c r="D764" s="11"/>
      <c r="E764" s="25"/>
      <c r="F764" s="21"/>
      <c r="G764" s="14"/>
      <c r="H764" s="15">
        <f t="shared" si="2"/>
        <v>0</v>
      </c>
      <c r="I764" s="16">
        <f t="shared" si="3"/>
        <v>23349.59</v>
      </c>
    </row>
    <row r="765" ht="22.5" customHeight="1">
      <c r="A765" s="8"/>
      <c r="B765" s="9" t="str">
        <f t="shared" si="1"/>
        <v>Dec-1899</v>
      </c>
      <c r="C765" s="10"/>
      <c r="D765" s="11"/>
      <c r="E765" s="25"/>
      <c r="F765" s="21"/>
      <c r="G765" s="14"/>
      <c r="H765" s="15">
        <f t="shared" si="2"/>
        <v>0</v>
      </c>
      <c r="I765" s="16">
        <f t="shared" si="3"/>
        <v>23349.59</v>
      </c>
    </row>
    <row r="766" ht="22.5" customHeight="1">
      <c r="A766" s="8"/>
      <c r="B766" s="9" t="str">
        <f t="shared" si="1"/>
        <v>Dec-1899</v>
      </c>
      <c r="C766" s="10"/>
      <c r="D766" s="11"/>
      <c r="E766" s="25"/>
      <c r="F766" s="21"/>
      <c r="G766" s="14"/>
      <c r="H766" s="15">
        <f t="shared" si="2"/>
        <v>0</v>
      </c>
      <c r="I766" s="16">
        <f t="shared" si="3"/>
        <v>23349.59</v>
      </c>
    </row>
    <row r="767" ht="22.5" customHeight="1">
      <c r="A767" s="8"/>
      <c r="B767" s="9" t="str">
        <f t="shared" si="1"/>
        <v>Dec-1899</v>
      </c>
      <c r="C767" s="10"/>
      <c r="D767" s="11"/>
      <c r="E767" s="25"/>
      <c r="F767" s="21"/>
      <c r="G767" s="14"/>
      <c r="H767" s="15">
        <f t="shared" si="2"/>
        <v>0</v>
      </c>
      <c r="I767" s="16">
        <f t="shared" si="3"/>
        <v>23349.59</v>
      </c>
    </row>
    <row r="768" ht="22.5" customHeight="1">
      <c r="A768" s="8"/>
      <c r="B768" s="9" t="str">
        <f t="shared" si="1"/>
        <v>Dec-1899</v>
      </c>
      <c r="C768" s="10"/>
      <c r="D768" s="11"/>
      <c r="E768" s="25"/>
      <c r="F768" s="21"/>
      <c r="G768" s="14"/>
      <c r="H768" s="15">
        <f t="shared" si="2"/>
        <v>0</v>
      </c>
      <c r="I768" s="16">
        <f t="shared" si="3"/>
        <v>23349.59</v>
      </c>
    </row>
    <row r="769" ht="22.5" customHeight="1">
      <c r="A769" s="8"/>
      <c r="B769" s="9" t="str">
        <f t="shared" si="1"/>
        <v>Dec-1899</v>
      </c>
      <c r="C769" s="10"/>
      <c r="D769" s="11"/>
      <c r="E769" s="25"/>
      <c r="F769" s="21"/>
      <c r="G769" s="14"/>
      <c r="H769" s="15">
        <f t="shared" si="2"/>
        <v>0</v>
      </c>
      <c r="I769" s="16">
        <f t="shared" si="3"/>
        <v>23349.59</v>
      </c>
    </row>
    <row r="770" ht="22.5" customHeight="1">
      <c r="A770" s="8"/>
      <c r="B770" s="9" t="str">
        <f t="shared" si="1"/>
        <v>Dec-1899</v>
      </c>
      <c r="C770" s="10"/>
      <c r="D770" s="11"/>
      <c r="E770" s="25"/>
      <c r="F770" s="21"/>
      <c r="G770" s="14"/>
      <c r="H770" s="15">
        <f t="shared" si="2"/>
        <v>0</v>
      </c>
      <c r="I770" s="16">
        <f t="shared" si="3"/>
        <v>23349.59</v>
      </c>
    </row>
    <row r="771" ht="22.5" customHeight="1">
      <c r="A771" s="8"/>
      <c r="B771" s="9" t="str">
        <f t="shared" si="1"/>
        <v>Dec-1899</v>
      </c>
      <c r="C771" s="10"/>
      <c r="D771" s="11"/>
      <c r="E771" s="25"/>
      <c r="F771" s="21"/>
      <c r="G771" s="14"/>
      <c r="H771" s="15">
        <f t="shared" si="2"/>
        <v>0</v>
      </c>
      <c r="I771" s="16">
        <f t="shared" si="3"/>
        <v>23349.59</v>
      </c>
    </row>
    <row r="772" ht="22.5" customHeight="1">
      <c r="A772" s="8"/>
      <c r="B772" s="9" t="str">
        <f t="shared" si="1"/>
        <v>Dec-1899</v>
      </c>
      <c r="C772" s="10"/>
      <c r="D772" s="11"/>
      <c r="E772" s="25"/>
      <c r="F772" s="21"/>
      <c r="G772" s="14"/>
      <c r="H772" s="15">
        <f t="shared" si="2"/>
        <v>0</v>
      </c>
      <c r="I772" s="16">
        <f t="shared" si="3"/>
        <v>23349.59</v>
      </c>
    </row>
    <row r="773" ht="22.5" customHeight="1">
      <c r="A773" s="8"/>
      <c r="B773" s="9" t="str">
        <f t="shared" si="1"/>
        <v>Dec-1899</v>
      </c>
      <c r="C773" s="10"/>
      <c r="D773" s="11"/>
      <c r="E773" s="25"/>
      <c r="F773" s="21"/>
      <c r="G773" s="14"/>
      <c r="H773" s="15">
        <f t="shared" si="2"/>
        <v>0</v>
      </c>
      <c r="I773" s="16">
        <f t="shared" si="3"/>
        <v>23349.59</v>
      </c>
    </row>
    <row r="774" ht="22.5" customHeight="1">
      <c r="A774" s="8"/>
      <c r="B774" s="9" t="str">
        <f t="shared" si="1"/>
        <v>Dec-1899</v>
      </c>
      <c r="C774" s="10"/>
      <c r="D774" s="11"/>
      <c r="E774" s="25"/>
      <c r="F774" s="21"/>
      <c r="G774" s="14"/>
      <c r="H774" s="15">
        <f t="shared" si="2"/>
        <v>0</v>
      </c>
      <c r="I774" s="16">
        <f t="shared" si="3"/>
        <v>23349.59</v>
      </c>
    </row>
    <row r="775" ht="22.5" customHeight="1">
      <c r="A775" s="8"/>
      <c r="B775" s="9" t="str">
        <f t="shared" si="1"/>
        <v>Dec-1899</v>
      </c>
      <c r="C775" s="10"/>
      <c r="D775" s="11"/>
      <c r="E775" s="25"/>
      <c r="F775" s="21"/>
      <c r="G775" s="14"/>
      <c r="H775" s="15">
        <f t="shared" si="2"/>
        <v>0</v>
      </c>
      <c r="I775" s="16">
        <f t="shared" si="3"/>
        <v>23349.59</v>
      </c>
    </row>
    <row r="776" ht="22.5" customHeight="1">
      <c r="A776" s="8"/>
      <c r="B776" s="9" t="str">
        <f t="shared" si="1"/>
        <v>Dec-1899</v>
      </c>
      <c r="C776" s="10"/>
      <c r="D776" s="11"/>
      <c r="E776" s="25"/>
      <c r="F776" s="21"/>
      <c r="G776" s="14"/>
      <c r="H776" s="15">
        <f t="shared" si="2"/>
        <v>0</v>
      </c>
      <c r="I776" s="16">
        <f t="shared" si="3"/>
        <v>23349.59</v>
      </c>
    </row>
    <row r="777" ht="22.5" customHeight="1">
      <c r="A777" s="8"/>
      <c r="B777" s="9" t="str">
        <f t="shared" si="1"/>
        <v>Dec-1899</v>
      </c>
      <c r="C777" s="10"/>
      <c r="D777" s="11"/>
      <c r="E777" s="25"/>
      <c r="F777" s="21"/>
      <c r="G777" s="14"/>
      <c r="H777" s="15">
        <f t="shared" si="2"/>
        <v>0</v>
      </c>
      <c r="I777" s="16">
        <f t="shared" si="3"/>
        <v>23349.59</v>
      </c>
    </row>
    <row r="778" ht="22.5" customHeight="1">
      <c r="A778" s="8"/>
      <c r="B778" s="9" t="str">
        <f t="shared" si="1"/>
        <v>Dec-1899</v>
      </c>
      <c r="C778" s="10"/>
      <c r="D778" s="11"/>
      <c r="E778" s="25"/>
      <c r="F778" s="21"/>
      <c r="G778" s="14"/>
      <c r="H778" s="15">
        <f t="shared" si="2"/>
        <v>0</v>
      </c>
      <c r="I778" s="16">
        <f t="shared" si="3"/>
        <v>23349.59</v>
      </c>
    </row>
    <row r="779" ht="22.5" customHeight="1">
      <c r="A779" s="8"/>
      <c r="B779" s="9" t="str">
        <f t="shared" si="1"/>
        <v>Dec-1899</v>
      </c>
      <c r="C779" s="10"/>
      <c r="D779" s="11"/>
      <c r="E779" s="25"/>
      <c r="F779" s="21"/>
      <c r="G779" s="14"/>
      <c r="H779" s="15">
        <f t="shared" si="2"/>
        <v>0</v>
      </c>
      <c r="I779" s="16">
        <f t="shared" si="3"/>
        <v>23349.59</v>
      </c>
    </row>
    <row r="780" ht="22.5" customHeight="1">
      <c r="A780" s="8"/>
      <c r="B780" s="9" t="str">
        <f t="shared" si="1"/>
        <v>Dec-1899</v>
      </c>
      <c r="C780" s="10"/>
      <c r="D780" s="11"/>
      <c r="E780" s="25"/>
      <c r="F780" s="21"/>
      <c r="G780" s="14"/>
      <c r="H780" s="15">
        <f t="shared" si="2"/>
        <v>0</v>
      </c>
      <c r="I780" s="16">
        <f t="shared" si="3"/>
        <v>23349.59</v>
      </c>
    </row>
    <row r="781" ht="22.5" customHeight="1">
      <c r="A781" s="8"/>
      <c r="B781" s="9" t="str">
        <f t="shared" si="1"/>
        <v>Dec-1899</v>
      </c>
      <c r="C781" s="10"/>
      <c r="D781" s="11"/>
      <c r="E781" s="25"/>
      <c r="F781" s="21"/>
      <c r="G781" s="14"/>
      <c r="H781" s="15">
        <f t="shared" si="2"/>
        <v>0</v>
      </c>
      <c r="I781" s="16">
        <f t="shared" si="3"/>
        <v>23349.59</v>
      </c>
    </row>
    <row r="782" ht="22.5" customHeight="1">
      <c r="A782" s="8"/>
      <c r="B782" s="9" t="str">
        <f t="shared" si="1"/>
        <v>Dec-1899</v>
      </c>
      <c r="C782" s="10"/>
      <c r="D782" s="11"/>
      <c r="E782" s="25"/>
      <c r="F782" s="21"/>
      <c r="G782" s="14"/>
      <c r="H782" s="15">
        <f t="shared" si="2"/>
        <v>0</v>
      </c>
      <c r="I782" s="16">
        <f t="shared" si="3"/>
        <v>23349.59</v>
      </c>
    </row>
    <row r="783" ht="22.5" customHeight="1">
      <c r="A783" s="8"/>
      <c r="B783" s="9" t="str">
        <f t="shared" si="1"/>
        <v>Dec-1899</v>
      </c>
      <c r="C783" s="10"/>
      <c r="D783" s="11"/>
      <c r="E783" s="25"/>
      <c r="F783" s="21"/>
      <c r="G783" s="14"/>
      <c r="H783" s="15">
        <f t="shared" si="2"/>
        <v>0</v>
      </c>
      <c r="I783" s="16">
        <f t="shared" si="3"/>
        <v>23349.59</v>
      </c>
    </row>
    <row r="784" ht="22.5" customHeight="1">
      <c r="A784" s="8"/>
      <c r="B784" s="9" t="str">
        <f t="shared" si="1"/>
        <v>Dec-1899</v>
      </c>
      <c r="C784" s="10"/>
      <c r="D784" s="11"/>
      <c r="E784" s="25"/>
      <c r="F784" s="21"/>
      <c r="G784" s="14"/>
      <c r="H784" s="15">
        <f t="shared" si="2"/>
        <v>0</v>
      </c>
      <c r="I784" s="16">
        <f t="shared" si="3"/>
        <v>23349.59</v>
      </c>
    </row>
    <row r="785" ht="22.5" customHeight="1">
      <c r="A785" s="8"/>
      <c r="B785" s="9" t="str">
        <f t="shared" si="1"/>
        <v>Dec-1899</v>
      </c>
      <c r="C785" s="10"/>
      <c r="D785" s="11"/>
      <c r="E785" s="25"/>
      <c r="F785" s="21"/>
      <c r="G785" s="14"/>
      <c r="H785" s="15">
        <f t="shared" si="2"/>
        <v>0</v>
      </c>
      <c r="I785" s="16">
        <f t="shared" si="3"/>
        <v>23349.59</v>
      </c>
    </row>
    <row r="786" ht="22.5" customHeight="1">
      <c r="A786" s="8"/>
      <c r="B786" s="9" t="str">
        <f t="shared" si="1"/>
        <v>Dec-1899</v>
      </c>
      <c r="C786" s="10"/>
      <c r="D786" s="11"/>
      <c r="E786" s="25"/>
      <c r="F786" s="21"/>
      <c r="G786" s="14"/>
      <c r="H786" s="15">
        <f t="shared" si="2"/>
        <v>0</v>
      </c>
      <c r="I786" s="16">
        <f t="shared" si="3"/>
        <v>23349.59</v>
      </c>
    </row>
    <row r="787" ht="22.5" customHeight="1">
      <c r="A787" s="8"/>
      <c r="B787" s="9" t="str">
        <f t="shared" si="1"/>
        <v>Dec-1899</v>
      </c>
      <c r="C787" s="10"/>
      <c r="D787" s="11"/>
      <c r="E787" s="25"/>
      <c r="F787" s="21"/>
      <c r="G787" s="14"/>
      <c r="H787" s="15">
        <f t="shared" si="2"/>
        <v>0</v>
      </c>
      <c r="I787" s="16">
        <f t="shared" si="3"/>
        <v>23349.59</v>
      </c>
    </row>
    <row r="788" ht="22.5" customHeight="1">
      <c r="A788" s="8"/>
      <c r="B788" s="9" t="str">
        <f t="shared" si="1"/>
        <v>Dec-1899</v>
      </c>
      <c r="C788" s="10"/>
      <c r="D788" s="11"/>
      <c r="E788" s="25"/>
      <c r="F788" s="21"/>
      <c r="G788" s="14"/>
      <c r="H788" s="15">
        <f t="shared" si="2"/>
        <v>0</v>
      </c>
      <c r="I788" s="16">
        <f t="shared" si="3"/>
        <v>23349.59</v>
      </c>
    </row>
    <row r="789" ht="22.5" customHeight="1">
      <c r="A789" s="8"/>
      <c r="B789" s="9" t="str">
        <f t="shared" si="1"/>
        <v>Dec-1899</v>
      </c>
      <c r="C789" s="10"/>
      <c r="D789" s="11"/>
      <c r="E789" s="25"/>
      <c r="F789" s="21"/>
      <c r="G789" s="14"/>
      <c r="H789" s="15">
        <f t="shared" si="2"/>
        <v>0</v>
      </c>
      <c r="I789" s="16">
        <f t="shared" si="3"/>
        <v>23349.59</v>
      </c>
    </row>
    <row r="790" ht="22.5" customHeight="1">
      <c r="A790" s="8"/>
      <c r="B790" s="9" t="str">
        <f t="shared" si="1"/>
        <v>Dec-1899</v>
      </c>
      <c r="C790" s="10"/>
      <c r="D790" s="11"/>
      <c r="E790" s="25"/>
      <c r="F790" s="21"/>
      <c r="G790" s="14"/>
      <c r="H790" s="15">
        <f t="shared" si="2"/>
        <v>0</v>
      </c>
      <c r="I790" s="16">
        <f t="shared" si="3"/>
        <v>23349.59</v>
      </c>
    </row>
    <row r="791" ht="22.5" customHeight="1">
      <c r="A791" s="8"/>
      <c r="B791" s="9" t="str">
        <f t="shared" si="1"/>
        <v>Dec-1899</v>
      </c>
      <c r="C791" s="10"/>
      <c r="D791" s="11"/>
      <c r="E791" s="25"/>
      <c r="F791" s="21"/>
      <c r="G791" s="14"/>
      <c r="H791" s="15">
        <f t="shared" si="2"/>
        <v>0</v>
      </c>
      <c r="I791" s="16">
        <f t="shared" si="3"/>
        <v>23349.59</v>
      </c>
    </row>
    <row r="792" ht="22.5" customHeight="1">
      <c r="A792" s="8"/>
      <c r="B792" s="9" t="str">
        <f t="shared" si="1"/>
        <v>Dec-1899</v>
      </c>
      <c r="C792" s="10"/>
      <c r="D792" s="11"/>
      <c r="E792" s="25"/>
      <c r="F792" s="21"/>
      <c r="G792" s="14"/>
      <c r="H792" s="15">
        <f t="shared" si="2"/>
        <v>0</v>
      </c>
      <c r="I792" s="16">
        <f t="shared" si="3"/>
        <v>23349.59</v>
      </c>
    </row>
    <row r="793" ht="22.5" customHeight="1">
      <c r="A793" s="8"/>
      <c r="B793" s="9" t="str">
        <f t="shared" si="1"/>
        <v>Dec-1899</v>
      </c>
      <c r="C793" s="10"/>
      <c r="D793" s="11"/>
      <c r="E793" s="25"/>
      <c r="F793" s="21"/>
      <c r="G793" s="14"/>
      <c r="H793" s="15">
        <f t="shared" si="2"/>
        <v>0</v>
      </c>
      <c r="I793" s="16">
        <f t="shared" si="3"/>
        <v>23349.59</v>
      </c>
    </row>
    <row r="794" ht="22.5" customHeight="1">
      <c r="A794" s="8"/>
      <c r="B794" s="9" t="str">
        <f t="shared" si="1"/>
        <v>Dec-1899</v>
      </c>
      <c r="C794" s="10"/>
      <c r="D794" s="11"/>
      <c r="E794" s="25"/>
      <c r="F794" s="21"/>
      <c r="G794" s="14"/>
      <c r="H794" s="15">
        <f t="shared" si="2"/>
        <v>0</v>
      </c>
      <c r="I794" s="16">
        <f t="shared" si="3"/>
        <v>23349.59</v>
      </c>
    </row>
    <row r="795" ht="22.5" customHeight="1">
      <c r="A795" s="8"/>
      <c r="B795" s="9" t="str">
        <f t="shared" si="1"/>
        <v>Dec-1899</v>
      </c>
      <c r="C795" s="10"/>
      <c r="D795" s="11"/>
      <c r="E795" s="25"/>
      <c r="F795" s="21"/>
      <c r="G795" s="14"/>
      <c r="H795" s="15">
        <f t="shared" si="2"/>
        <v>0</v>
      </c>
      <c r="I795" s="16">
        <f t="shared" si="3"/>
        <v>23349.59</v>
      </c>
    </row>
    <row r="796" ht="22.5" customHeight="1">
      <c r="A796" s="8"/>
      <c r="B796" s="9" t="str">
        <f t="shared" si="1"/>
        <v>Dec-1899</v>
      </c>
      <c r="C796" s="10"/>
      <c r="D796" s="11"/>
      <c r="E796" s="25"/>
      <c r="F796" s="21"/>
      <c r="G796" s="14"/>
      <c r="H796" s="15">
        <f t="shared" si="2"/>
        <v>0</v>
      </c>
      <c r="I796" s="16">
        <f t="shared" si="3"/>
        <v>23349.59</v>
      </c>
    </row>
    <row r="797" ht="22.5" customHeight="1">
      <c r="A797" s="8"/>
      <c r="B797" s="9" t="str">
        <f t="shared" si="1"/>
        <v>Dec-1899</v>
      </c>
      <c r="C797" s="10"/>
      <c r="D797" s="11"/>
      <c r="E797" s="25"/>
      <c r="F797" s="21"/>
      <c r="G797" s="14"/>
      <c r="H797" s="15">
        <f t="shared" si="2"/>
        <v>0</v>
      </c>
      <c r="I797" s="16">
        <f t="shared" si="3"/>
        <v>23349.59</v>
      </c>
    </row>
    <row r="798" ht="22.5" customHeight="1">
      <c r="A798" s="8"/>
      <c r="B798" s="9" t="str">
        <f t="shared" si="1"/>
        <v>Dec-1899</v>
      </c>
      <c r="C798" s="10"/>
      <c r="D798" s="11"/>
      <c r="E798" s="25"/>
      <c r="F798" s="21"/>
      <c r="G798" s="14"/>
      <c r="H798" s="15">
        <f t="shared" si="2"/>
        <v>0</v>
      </c>
      <c r="I798" s="16">
        <f t="shared" si="3"/>
        <v>23349.59</v>
      </c>
    </row>
    <row r="799" ht="22.5" customHeight="1">
      <c r="A799" s="8"/>
      <c r="B799" s="9" t="str">
        <f t="shared" si="1"/>
        <v>Dec-1899</v>
      </c>
      <c r="C799" s="10"/>
      <c r="D799" s="11"/>
      <c r="E799" s="25"/>
      <c r="F799" s="21"/>
      <c r="G799" s="14"/>
      <c r="H799" s="15">
        <f t="shared" si="2"/>
        <v>0</v>
      </c>
      <c r="I799" s="16">
        <f t="shared" si="3"/>
        <v>23349.59</v>
      </c>
    </row>
    <row r="800" ht="22.5" customHeight="1">
      <c r="A800" s="8"/>
      <c r="B800" s="9" t="str">
        <f t="shared" si="1"/>
        <v>Dec-1899</v>
      </c>
      <c r="C800" s="10"/>
      <c r="D800" s="11"/>
      <c r="E800" s="25"/>
      <c r="F800" s="21"/>
      <c r="G800" s="14"/>
      <c r="H800" s="15">
        <f t="shared" si="2"/>
        <v>0</v>
      </c>
      <c r="I800" s="16">
        <f t="shared" si="3"/>
        <v>23349.59</v>
      </c>
    </row>
    <row r="801" ht="22.5" customHeight="1">
      <c r="A801" s="8"/>
      <c r="B801" s="9" t="str">
        <f t="shared" si="1"/>
        <v>Dec-1899</v>
      </c>
      <c r="C801" s="10"/>
      <c r="D801" s="11"/>
      <c r="E801" s="25"/>
      <c r="F801" s="21"/>
      <c r="G801" s="14"/>
      <c r="H801" s="15">
        <f t="shared" si="2"/>
        <v>0</v>
      </c>
      <c r="I801" s="16">
        <f t="shared" si="3"/>
        <v>23349.59</v>
      </c>
    </row>
    <row r="802" ht="22.5" customHeight="1">
      <c r="A802" s="8"/>
      <c r="B802" s="9" t="str">
        <f t="shared" si="1"/>
        <v>Dec-1899</v>
      </c>
      <c r="C802" s="10"/>
      <c r="D802" s="11"/>
      <c r="E802" s="25"/>
      <c r="F802" s="21"/>
      <c r="G802" s="14"/>
      <c r="H802" s="15">
        <f t="shared" si="2"/>
        <v>0</v>
      </c>
      <c r="I802" s="16">
        <f t="shared" si="3"/>
        <v>23349.59</v>
      </c>
    </row>
    <row r="803" ht="22.5" customHeight="1">
      <c r="A803" s="8"/>
      <c r="B803" s="9" t="str">
        <f t="shared" si="1"/>
        <v>Dec-1899</v>
      </c>
      <c r="C803" s="10"/>
      <c r="D803" s="11"/>
      <c r="E803" s="25"/>
      <c r="F803" s="21"/>
      <c r="G803" s="14"/>
      <c r="H803" s="15">
        <f t="shared" si="2"/>
        <v>0</v>
      </c>
      <c r="I803" s="16">
        <f t="shared" si="3"/>
        <v>23349.59</v>
      </c>
    </row>
    <row r="804" ht="22.5" customHeight="1">
      <c r="A804" s="8"/>
      <c r="B804" s="9" t="str">
        <f t="shared" si="1"/>
        <v>Dec-1899</v>
      </c>
      <c r="C804" s="10"/>
      <c r="D804" s="11"/>
      <c r="E804" s="25"/>
      <c r="F804" s="21"/>
      <c r="G804" s="14"/>
      <c r="H804" s="15">
        <f t="shared" si="2"/>
        <v>0</v>
      </c>
      <c r="I804" s="16">
        <f t="shared" si="3"/>
        <v>23349.59</v>
      </c>
    </row>
    <row r="805" ht="22.5" customHeight="1">
      <c r="A805" s="8"/>
      <c r="B805" s="9" t="str">
        <f t="shared" si="1"/>
        <v>Dec-1899</v>
      </c>
      <c r="C805" s="10"/>
      <c r="D805" s="11"/>
      <c r="E805" s="25"/>
      <c r="F805" s="21"/>
      <c r="G805" s="14"/>
      <c r="H805" s="15">
        <f t="shared" si="2"/>
        <v>0</v>
      </c>
      <c r="I805" s="16">
        <f t="shared" si="3"/>
        <v>23349.59</v>
      </c>
    </row>
    <row r="806" ht="22.5" customHeight="1">
      <c r="A806" s="8"/>
      <c r="B806" s="9" t="str">
        <f t="shared" si="1"/>
        <v>Dec-1899</v>
      </c>
      <c r="C806" s="10"/>
      <c r="D806" s="11"/>
      <c r="E806" s="25"/>
      <c r="F806" s="21"/>
      <c r="G806" s="14"/>
      <c r="H806" s="15">
        <f t="shared" si="2"/>
        <v>0</v>
      </c>
      <c r="I806" s="16">
        <f t="shared" si="3"/>
        <v>23349.59</v>
      </c>
    </row>
    <row r="807" ht="22.5" customHeight="1">
      <c r="A807" s="8"/>
      <c r="B807" s="9" t="str">
        <f t="shared" si="1"/>
        <v>Dec-1899</v>
      </c>
      <c r="C807" s="10"/>
      <c r="D807" s="11"/>
      <c r="E807" s="25"/>
      <c r="F807" s="21"/>
      <c r="G807" s="14"/>
      <c r="H807" s="15">
        <f t="shared" si="2"/>
        <v>0</v>
      </c>
      <c r="I807" s="16">
        <f t="shared" si="3"/>
        <v>23349.59</v>
      </c>
    </row>
    <row r="808" ht="22.5" customHeight="1">
      <c r="A808" s="8"/>
      <c r="B808" s="9" t="str">
        <f t="shared" si="1"/>
        <v>Dec-1899</v>
      </c>
      <c r="C808" s="10"/>
      <c r="D808" s="11"/>
      <c r="E808" s="25"/>
      <c r="F808" s="21"/>
      <c r="G808" s="14"/>
      <c r="H808" s="15">
        <f t="shared" si="2"/>
        <v>0</v>
      </c>
      <c r="I808" s="16">
        <f t="shared" si="3"/>
        <v>23349.59</v>
      </c>
    </row>
    <row r="809" ht="22.5" customHeight="1">
      <c r="A809" s="8"/>
      <c r="B809" s="9" t="str">
        <f t="shared" si="1"/>
        <v>Dec-1899</v>
      </c>
      <c r="C809" s="10"/>
      <c r="D809" s="11"/>
      <c r="E809" s="25"/>
      <c r="F809" s="21"/>
      <c r="G809" s="14"/>
      <c r="H809" s="15">
        <f t="shared" si="2"/>
        <v>0</v>
      </c>
      <c r="I809" s="16">
        <f t="shared" si="3"/>
        <v>23349.59</v>
      </c>
    </row>
    <row r="810" ht="22.5" customHeight="1">
      <c r="A810" s="8"/>
      <c r="B810" s="9" t="str">
        <f t="shared" si="1"/>
        <v>Dec-1899</v>
      </c>
      <c r="C810" s="10"/>
      <c r="D810" s="11"/>
      <c r="E810" s="25"/>
      <c r="F810" s="21"/>
      <c r="G810" s="14"/>
      <c r="H810" s="15">
        <f t="shared" si="2"/>
        <v>0</v>
      </c>
      <c r="I810" s="16">
        <f t="shared" si="3"/>
        <v>23349.59</v>
      </c>
    </row>
    <row r="811" ht="22.5" customHeight="1">
      <c r="A811" s="8"/>
      <c r="B811" s="9" t="str">
        <f t="shared" si="1"/>
        <v>Dec-1899</v>
      </c>
      <c r="C811" s="10"/>
      <c r="D811" s="11"/>
      <c r="E811" s="25"/>
      <c r="F811" s="21"/>
      <c r="G811" s="14"/>
      <c r="H811" s="15">
        <f t="shared" si="2"/>
        <v>0</v>
      </c>
      <c r="I811" s="16">
        <f t="shared" si="3"/>
        <v>23349.59</v>
      </c>
    </row>
    <row r="812" ht="22.5" customHeight="1">
      <c r="A812" s="8"/>
      <c r="B812" s="9" t="str">
        <f t="shared" si="1"/>
        <v>Dec-1899</v>
      </c>
      <c r="C812" s="10"/>
      <c r="D812" s="11"/>
      <c r="E812" s="25"/>
      <c r="F812" s="21"/>
      <c r="G812" s="14"/>
      <c r="H812" s="15">
        <f t="shared" si="2"/>
        <v>0</v>
      </c>
      <c r="I812" s="16">
        <f t="shared" si="3"/>
        <v>23349.59</v>
      </c>
    </row>
    <row r="813" ht="22.5" customHeight="1">
      <c r="A813" s="8"/>
      <c r="B813" s="9" t="str">
        <f t="shared" si="1"/>
        <v>Dec-1899</v>
      </c>
      <c r="C813" s="10"/>
      <c r="D813" s="11"/>
      <c r="E813" s="25"/>
      <c r="F813" s="21"/>
      <c r="G813" s="14"/>
      <c r="H813" s="15">
        <f t="shared" si="2"/>
        <v>0</v>
      </c>
      <c r="I813" s="16">
        <f t="shared" si="3"/>
        <v>23349.59</v>
      </c>
    </row>
    <row r="814" ht="22.5" customHeight="1">
      <c r="A814" s="8"/>
      <c r="B814" s="9" t="str">
        <f t="shared" si="1"/>
        <v>Dec-1899</v>
      </c>
      <c r="C814" s="10"/>
      <c r="D814" s="11"/>
      <c r="E814" s="25"/>
      <c r="F814" s="21"/>
      <c r="G814" s="14"/>
      <c r="H814" s="15">
        <f t="shared" si="2"/>
        <v>0</v>
      </c>
      <c r="I814" s="16">
        <f t="shared" si="3"/>
        <v>23349.59</v>
      </c>
    </row>
    <row r="815" ht="22.5" customHeight="1">
      <c r="A815" s="8"/>
      <c r="B815" s="9" t="str">
        <f t="shared" si="1"/>
        <v>Dec-1899</v>
      </c>
      <c r="C815" s="10"/>
      <c r="D815" s="11"/>
      <c r="E815" s="25"/>
      <c r="F815" s="21"/>
      <c r="G815" s="14"/>
      <c r="H815" s="15">
        <f t="shared" si="2"/>
        <v>0</v>
      </c>
      <c r="I815" s="16">
        <f t="shared" si="3"/>
        <v>23349.59</v>
      </c>
    </row>
    <row r="816" ht="22.5" customHeight="1">
      <c r="A816" s="8"/>
      <c r="B816" s="9" t="str">
        <f t="shared" si="1"/>
        <v>Dec-1899</v>
      </c>
      <c r="C816" s="10"/>
      <c r="D816" s="11"/>
      <c r="E816" s="25"/>
      <c r="F816" s="21"/>
      <c r="G816" s="14"/>
      <c r="H816" s="15">
        <f t="shared" si="2"/>
        <v>0</v>
      </c>
      <c r="I816" s="16">
        <f t="shared" si="3"/>
        <v>23349.59</v>
      </c>
    </row>
    <row r="817" ht="22.5" customHeight="1">
      <c r="A817" s="8"/>
      <c r="B817" s="9" t="str">
        <f t="shared" si="1"/>
        <v>Dec-1899</v>
      </c>
      <c r="C817" s="10"/>
      <c r="D817" s="11"/>
      <c r="E817" s="25"/>
      <c r="F817" s="21"/>
      <c r="G817" s="14"/>
      <c r="H817" s="15">
        <f t="shared" si="2"/>
        <v>0</v>
      </c>
      <c r="I817" s="16">
        <f t="shared" si="3"/>
        <v>23349.59</v>
      </c>
    </row>
    <row r="818" ht="22.5" customHeight="1">
      <c r="A818" s="8"/>
      <c r="B818" s="9" t="str">
        <f t="shared" si="1"/>
        <v>Dec-1899</v>
      </c>
      <c r="C818" s="10"/>
      <c r="D818" s="11"/>
      <c r="E818" s="25"/>
      <c r="F818" s="21"/>
      <c r="G818" s="14"/>
      <c r="H818" s="15">
        <f t="shared" si="2"/>
        <v>0</v>
      </c>
      <c r="I818" s="16">
        <f t="shared" si="3"/>
        <v>23349.59</v>
      </c>
    </row>
    <row r="819" ht="22.5" customHeight="1">
      <c r="A819" s="8"/>
      <c r="B819" s="9" t="str">
        <f t="shared" si="1"/>
        <v>Dec-1899</v>
      </c>
      <c r="C819" s="10"/>
      <c r="D819" s="11"/>
      <c r="E819" s="25"/>
      <c r="F819" s="21"/>
      <c r="G819" s="14"/>
      <c r="H819" s="15">
        <f t="shared" si="2"/>
        <v>0</v>
      </c>
      <c r="I819" s="16">
        <f t="shared" si="3"/>
        <v>23349.59</v>
      </c>
    </row>
    <row r="820" ht="22.5" customHeight="1">
      <c r="A820" s="8"/>
      <c r="B820" s="9" t="str">
        <f t="shared" si="1"/>
        <v>Dec-1899</v>
      </c>
      <c r="C820" s="10"/>
      <c r="D820" s="11"/>
      <c r="E820" s="25"/>
      <c r="F820" s="21"/>
      <c r="G820" s="14"/>
      <c r="H820" s="15">
        <f t="shared" si="2"/>
        <v>0</v>
      </c>
      <c r="I820" s="16">
        <f t="shared" si="3"/>
        <v>23349.59</v>
      </c>
    </row>
    <row r="821" ht="22.5" customHeight="1">
      <c r="A821" s="8"/>
      <c r="B821" s="9" t="str">
        <f t="shared" si="1"/>
        <v>Dec-1899</v>
      </c>
      <c r="C821" s="10"/>
      <c r="D821" s="11"/>
      <c r="E821" s="25"/>
      <c r="F821" s="21"/>
      <c r="G821" s="14"/>
      <c r="H821" s="15">
        <f t="shared" si="2"/>
        <v>0</v>
      </c>
      <c r="I821" s="16">
        <f t="shared" si="3"/>
        <v>23349.59</v>
      </c>
    </row>
    <row r="822" ht="22.5" customHeight="1">
      <c r="A822" s="8"/>
      <c r="B822" s="9" t="str">
        <f t="shared" si="1"/>
        <v>Dec-1899</v>
      </c>
      <c r="C822" s="10"/>
      <c r="D822" s="11"/>
      <c r="E822" s="25"/>
      <c r="F822" s="21"/>
      <c r="G822" s="14"/>
      <c r="H822" s="15">
        <f t="shared" si="2"/>
        <v>0</v>
      </c>
      <c r="I822" s="16">
        <f t="shared" si="3"/>
        <v>23349.59</v>
      </c>
    </row>
    <row r="823" ht="22.5" customHeight="1">
      <c r="A823" s="8"/>
      <c r="B823" s="9" t="str">
        <f t="shared" si="1"/>
        <v>Dec-1899</v>
      </c>
      <c r="C823" s="10"/>
      <c r="D823" s="11"/>
      <c r="E823" s="25"/>
      <c r="F823" s="21"/>
      <c r="G823" s="14"/>
      <c r="H823" s="15">
        <f t="shared" si="2"/>
        <v>0</v>
      </c>
      <c r="I823" s="16">
        <f t="shared" si="3"/>
        <v>23349.59</v>
      </c>
    </row>
    <row r="824" ht="22.5" customHeight="1">
      <c r="A824" s="8"/>
      <c r="B824" s="9" t="str">
        <f t="shared" si="1"/>
        <v>Dec-1899</v>
      </c>
      <c r="C824" s="10"/>
      <c r="D824" s="11"/>
      <c r="E824" s="25"/>
      <c r="F824" s="21"/>
      <c r="G824" s="14"/>
      <c r="H824" s="15">
        <f t="shared" si="2"/>
        <v>0</v>
      </c>
      <c r="I824" s="16">
        <f t="shared" si="3"/>
        <v>23349.59</v>
      </c>
    </row>
    <row r="825" ht="22.5" customHeight="1">
      <c r="A825" s="8"/>
      <c r="B825" s="9" t="str">
        <f t="shared" si="1"/>
        <v>Dec-1899</v>
      </c>
      <c r="C825" s="10"/>
      <c r="D825" s="11"/>
      <c r="E825" s="25"/>
      <c r="F825" s="21"/>
      <c r="G825" s="14"/>
      <c r="H825" s="15">
        <f t="shared" si="2"/>
        <v>0</v>
      </c>
      <c r="I825" s="16">
        <f t="shared" si="3"/>
        <v>23349.59</v>
      </c>
    </row>
    <row r="826" ht="22.5" customHeight="1">
      <c r="A826" s="8"/>
      <c r="B826" s="9" t="str">
        <f t="shared" si="1"/>
        <v>Dec-1899</v>
      </c>
      <c r="C826" s="10"/>
      <c r="D826" s="11"/>
      <c r="E826" s="25"/>
      <c r="F826" s="21"/>
      <c r="G826" s="14"/>
      <c r="H826" s="15">
        <f t="shared" si="2"/>
        <v>0</v>
      </c>
      <c r="I826" s="16">
        <f t="shared" si="3"/>
        <v>23349.59</v>
      </c>
    </row>
    <row r="827" ht="22.5" customHeight="1">
      <c r="A827" s="8"/>
      <c r="B827" s="9" t="str">
        <f t="shared" si="1"/>
        <v>Dec-1899</v>
      </c>
      <c r="C827" s="10"/>
      <c r="D827" s="11"/>
      <c r="E827" s="25"/>
      <c r="F827" s="21"/>
      <c r="G827" s="14"/>
      <c r="H827" s="15">
        <f t="shared" si="2"/>
        <v>0</v>
      </c>
      <c r="I827" s="16">
        <f t="shared" si="3"/>
        <v>23349.59</v>
      </c>
    </row>
    <row r="828" ht="22.5" customHeight="1">
      <c r="A828" s="8"/>
      <c r="B828" s="9" t="str">
        <f t="shared" si="1"/>
        <v>Dec-1899</v>
      </c>
      <c r="C828" s="10"/>
      <c r="D828" s="11"/>
      <c r="E828" s="25"/>
      <c r="F828" s="21"/>
      <c r="G828" s="14"/>
      <c r="H828" s="15">
        <f t="shared" si="2"/>
        <v>0</v>
      </c>
      <c r="I828" s="16">
        <f t="shared" si="3"/>
        <v>23349.59</v>
      </c>
    </row>
    <row r="829" ht="22.5" customHeight="1">
      <c r="A829" s="8"/>
      <c r="B829" s="9" t="str">
        <f t="shared" si="1"/>
        <v>Dec-1899</v>
      </c>
      <c r="C829" s="10"/>
      <c r="D829" s="11"/>
      <c r="E829" s="25"/>
      <c r="F829" s="21"/>
      <c r="G829" s="14"/>
      <c r="H829" s="15">
        <f t="shared" si="2"/>
        <v>0</v>
      </c>
      <c r="I829" s="16">
        <f t="shared" si="3"/>
        <v>23349.59</v>
      </c>
    </row>
    <row r="830" ht="22.5" customHeight="1">
      <c r="A830" s="8"/>
      <c r="B830" s="9" t="str">
        <f t="shared" si="1"/>
        <v>Dec-1899</v>
      </c>
      <c r="C830" s="10"/>
      <c r="D830" s="11"/>
      <c r="E830" s="25"/>
      <c r="F830" s="21"/>
      <c r="G830" s="14"/>
      <c r="H830" s="15">
        <f t="shared" si="2"/>
        <v>0</v>
      </c>
      <c r="I830" s="16">
        <f t="shared" si="3"/>
        <v>23349.59</v>
      </c>
    </row>
    <row r="831" ht="22.5" customHeight="1">
      <c r="A831" s="8"/>
      <c r="B831" s="9" t="str">
        <f t="shared" si="1"/>
        <v>Dec-1899</v>
      </c>
      <c r="C831" s="10"/>
      <c r="D831" s="11"/>
      <c r="E831" s="25"/>
      <c r="F831" s="21"/>
      <c r="G831" s="14"/>
      <c r="H831" s="15">
        <f t="shared" si="2"/>
        <v>0</v>
      </c>
      <c r="I831" s="16">
        <f t="shared" si="3"/>
        <v>23349.59</v>
      </c>
    </row>
    <row r="832" ht="22.5" customHeight="1">
      <c r="A832" s="8"/>
      <c r="B832" s="9" t="str">
        <f t="shared" si="1"/>
        <v>Dec-1899</v>
      </c>
      <c r="C832" s="10"/>
      <c r="D832" s="11"/>
      <c r="E832" s="25"/>
      <c r="F832" s="21"/>
      <c r="G832" s="14"/>
      <c r="H832" s="15">
        <f t="shared" si="2"/>
        <v>0</v>
      </c>
      <c r="I832" s="16">
        <f t="shared" si="3"/>
        <v>23349.59</v>
      </c>
    </row>
    <row r="833" ht="22.5" customHeight="1">
      <c r="A833" s="8"/>
      <c r="B833" s="9" t="str">
        <f t="shared" si="1"/>
        <v>Dec-1899</v>
      </c>
      <c r="C833" s="10"/>
      <c r="D833" s="11"/>
      <c r="E833" s="25"/>
      <c r="F833" s="21"/>
      <c r="G833" s="14"/>
      <c r="H833" s="15">
        <f t="shared" si="2"/>
        <v>0</v>
      </c>
      <c r="I833" s="16">
        <f t="shared" si="3"/>
        <v>23349.59</v>
      </c>
    </row>
    <row r="834" ht="22.5" customHeight="1">
      <c r="A834" s="8"/>
      <c r="B834" s="9" t="str">
        <f t="shared" si="1"/>
        <v>Dec-1899</v>
      </c>
      <c r="C834" s="10"/>
      <c r="D834" s="11"/>
      <c r="E834" s="25"/>
      <c r="F834" s="21"/>
      <c r="G834" s="14"/>
      <c r="H834" s="15">
        <f t="shared" si="2"/>
        <v>0</v>
      </c>
      <c r="I834" s="16">
        <f t="shared" si="3"/>
        <v>23349.59</v>
      </c>
    </row>
    <row r="835" ht="22.5" customHeight="1">
      <c r="A835" s="8"/>
      <c r="B835" s="9" t="str">
        <f t="shared" si="1"/>
        <v>Dec-1899</v>
      </c>
      <c r="C835" s="10"/>
      <c r="D835" s="11"/>
      <c r="E835" s="25"/>
      <c r="F835" s="21"/>
      <c r="G835" s="14"/>
      <c r="H835" s="15">
        <f t="shared" si="2"/>
        <v>0</v>
      </c>
      <c r="I835" s="16">
        <f t="shared" si="3"/>
        <v>23349.59</v>
      </c>
    </row>
    <row r="836" ht="22.5" customHeight="1">
      <c r="A836" s="8"/>
      <c r="B836" s="9" t="str">
        <f t="shared" si="1"/>
        <v>Dec-1899</v>
      </c>
      <c r="C836" s="10"/>
      <c r="D836" s="11"/>
      <c r="E836" s="25"/>
      <c r="F836" s="21"/>
      <c r="G836" s="14"/>
      <c r="H836" s="15">
        <f t="shared" si="2"/>
        <v>0</v>
      </c>
      <c r="I836" s="16">
        <f t="shared" si="3"/>
        <v>23349.59</v>
      </c>
    </row>
    <row r="837" ht="22.5" customHeight="1">
      <c r="A837" s="8"/>
      <c r="B837" s="9" t="str">
        <f t="shared" si="1"/>
        <v>Dec-1899</v>
      </c>
      <c r="C837" s="10"/>
      <c r="D837" s="11"/>
      <c r="E837" s="25"/>
      <c r="F837" s="21"/>
      <c r="G837" s="14"/>
      <c r="H837" s="15">
        <f t="shared" si="2"/>
        <v>0</v>
      </c>
      <c r="I837" s="16">
        <f t="shared" si="3"/>
        <v>23349.59</v>
      </c>
    </row>
    <row r="838" ht="22.5" customHeight="1">
      <c r="A838" s="8"/>
      <c r="B838" s="9" t="str">
        <f t="shared" si="1"/>
        <v>Dec-1899</v>
      </c>
      <c r="C838" s="10"/>
      <c r="D838" s="11"/>
      <c r="E838" s="25"/>
      <c r="F838" s="21"/>
      <c r="G838" s="14"/>
      <c r="H838" s="15">
        <f t="shared" si="2"/>
        <v>0</v>
      </c>
      <c r="I838" s="16">
        <f t="shared" si="3"/>
        <v>23349.59</v>
      </c>
    </row>
    <row r="839" ht="22.5" customHeight="1">
      <c r="A839" s="8"/>
      <c r="B839" s="9" t="str">
        <f t="shared" si="1"/>
        <v>Dec-1899</v>
      </c>
      <c r="C839" s="10"/>
      <c r="D839" s="11"/>
      <c r="E839" s="25"/>
      <c r="F839" s="21"/>
      <c r="G839" s="14"/>
      <c r="H839" s="15">
        <f t="shared" si="2"/>
        <v>0</v>
      </c>
      <c r="I839" s="16">
        <f t="shared" si="3"/>
        <v>23349.59</v>
      </c>
    </row>
    <row r="840" ht="22.5" customHeight="1">
      <c r="A840" s="8"/>
      <c r="B840" s="9" t="str">
        <f t="shared" si="1"/>
        <v>Dec-1899</v>
      </c>
      <c r="C840" s="10"/>
      <c r="D840" s="11"/>
      <c r="E840" s="25"/>
      <c r="F840" s="21"/>
      <c r="G840" s="14"/>
      <c r="H840" s="15">
        <f t="shared" si="2"/>
        <v>0</v>
      </c>
      <c r="I840" s="16">
        <f t="shared" si="3"/>
        <v>23349.59</v>
      </c>
    </row>
    <row r="841" ht="22.5" customHeight="1">
      <c r="A841" s="8"/>
      <c r="B841" s="9" t="str">
        <f t="shared" si="1"/>
        <v>Dec-1899</v>
      </c>
      <c r="C841" s="10"/>
      <c r="D841" s="11"/>
      <c r="E841" s="25"/>
      <c r="F841" s="21"/>
      <c r="G841" s="14"/>
      <c r="H841" s="15">
        <f t="shared" si="2"/>
        <v>0</v>
      </c>
      <c r="I841" s="16">
        <f t="shared" si="3"/>
        <v>23349.59</v>
      </c>
    </row>
    <row r="842" ht="22.5" customHeight="1">
      <c r="A842" s="8"/>
      <c r="B842" s="9" t="str">
        <f t="shared" si="1"/>
        <v>Dec-1899</v>
      </c>
      <c r="C842" s="10"/>
      <c r="D842" s="11"/>
      <c r="E842" s="25"/>
      <c r="F842" s="21"/>
      <c r="G842" s="14"/>
      <c r="H842" s="15">
        <f t="shared" si="2"/>
        <v>0</v>
      </c>
      <c r="I842" s="16">
        <f t="shared" si="3"/>
        <v>23349.59</v>
      </c>
    </row>
    <row r="843" ht="22.5" customHeight="1">
      <c r="A843" s="8"/>
      <c r="B843" s="9" t="str">
        <f t="shared" si="1"/>
        <v>Dec-1899</v>
      </c>
      <c r="C843" s="10"/>
      <c r="D843" s="11"/>
      <c r="E843" s="25"/>
      <c r="F843" s="21"/>
      <c r="G843" s="14"/>
      <c r="H843" s="15">
        <f t="shared" si="2"/>
        <v>0</v>
      </c>
      <c r="I843" s="16">
        <f t="shared" si="3"/>
        <v>23349.59</v>
      </c>
    </row>
    <row r="844" ht="22.5" customHeight="1">
      <c r="A844" s="8"/>
      <c r="B844" s="9" t="str">
        <f t="shared" si="1"/>
        <v>Dec-1899</v>
      </c>
      <c r="C844" s="10"/>
      <c r="D844" s="11"/>
      <c r="E844" s="25"/>
      <c r="F844" s="21"/>
      <c r="G844" s="14"/>
      <c r="H844" s="15">
        <f t="shared" si="2"/>
        <v>0</v>
      </c>
      <c r="I844" s="16">
        <f t="shared" si="3"/>
        <v>23349.59</v>
      </c>
    </row>
    <row r="845" ht="22.5" customHeight="1">
      <c r="A845" s="8"/>
      <c r="B845" s="9" t="str">
        <f t="shared" si="1"/>
        <v>Dec-1899</v>
      </c>
      <c r="C845" s="10"/>
      <c r="D845" s="11"/>
      <c r="E845" s="25"/>
      <c r="F845" s="21"/>
      <c r="G845" s="14"/>
      <c r="H845" s="15">
        <f t="shared" si="2"/>
        <v>0</v>
      </c>
      <c r="I845" s="16">
        <f t="shared" si="3"/>
        <v>23349.59</v>
      </c>
    </row>
    <row r="846" ht="22.5" customHeight="1">
      <c r="A846" s="8"/>
      <c r="B846" s="9" t="str">
        <f t="shared" si="1"/>
        <v>Dec-1899</v>
      </c>
      <c r="C846" s="10"/>
      <c r="D846" s="11"/>
      <c r="E846" s="25"/>
      <c r="F846" s="21"/>
      <c r="G846" s="14"/>
      <c r="H846" s="15">
        <f t="shared" si="2"/>
        <v>0</v>
      </c>
      <c r="I846" s="16">
        <f t="shared" si="3"/>
        <v>23349.59</v>
      </c>
    </row>
    <row r="847" ht="22.5" customHeight="1">
      <c r="A847" s="8"/>
      <c r="B847" s="9" t="str">
        <f t="shared" si="1"/>
        <v>Dec-1899</v>
      </c>
      <c r="C847" s="10"/>
      <c r="D847" s="11"/>
      <c r="E847" s="25"/>
      <c r="F847" s="21"/>
      <c r="G847" s="14"/>
      <c r="H847" s="15">
        <f t="shared" si="2"/>
        <v>0</v>
      </c>
      <c r="I847" s="16">
        <f t="shared" si="3"/>
        <v>23349.59</v>
      </c>
    </row>
    <row r="848" ht="22.5" customHeight="1">
      <c r="A848" s="8"/>
      <c r="B848" s="9" t="str">
        <f t="shared" si="1"/>
        <v>Dec-1899</v>
      </c>
      <c r="C848" s="10"/>
      <c r="D848" s="11"/>
      <c r="E848" s="25"/>
      <c r="F848" s="21"/>
      <c r="G848" s="14"/>
      <c r="H848" s="15">
        <f t="shared" si="2"/>
        <v>0</v>
      </c>
      <c r="I848" s="16">
        <f t="shared" si="3"/>
        <v>23349.59</v>
      </c>
    </row>
    <row r="849" ht="22.5" customHeight="1">
      <c r="A849" s="8"/>
      <c r="B849" s="9" t="str">
        <f t="shared" si="1"/>
        <v>Dec-1899</v>
      </c>
      <c r="C849" s="10"/>
      <c r="D849" s="11"/>
      <c r="E849" s="25"/>
      <c r="F849" s="21"/>
      <c r="G849" s="14"/>
      <c r="H849" s="15">
        <f t="shared" si="2"/>
        <v>0</v>
      </c>
      <c r="I849" s="16">
        <f t="shared" si="3"/>
        <v>23349.59</v>
      </c>
    </row>
    <row r="850" ht="22.5" customHeight="1">
      <c r="A850" s="8"/>
      <c r="B850" s="9" t="str">
        <f t="shared" si="1"/>
        <v>Dec-1899</v>
      </c>
      <c r="C850" s="10"/>
      <c r="D850" s="11"/>
      <c r="E850" s="25"/>
      <c r="F850" s="21"/>
      <c r="G850" s="14"/>
      <c r="H850" s="15">
        <f t="shared" si="2"/>
        <v>0</v>
      </c>
      <c r="I850" s="16">
        <f t="shared" si="3"/>
        <v>23349.59</v>
      </c>
    </row>
    <row r="851" ht="22.5" customHeight="1">
      <c r="A851" s="8"/>
      <c r="B851" s="9" t="str">
        <f t="shared" si="1"/>
        <v>Dec-1899</v>
      </c>
      <c r="C851" s="10"/>
      <c r="D851" s="11"/>
      <c r="E851" s="25"/>
      <c r="F851" s="21"/>
      <c r="G851" s="14"/>
      <c r="H851" s="15">
        <f t="shared" si="2"/>
        <v>0</v>
      </c>
      <c r="I851" s="16">
        <f t="shared" si="3"/>
        <v>23349.59</v>
      </c>
    </row>
    <row r="852" ht="22.5" customHeight="1">
      <c r="A852" s="8"/>
      <c r="B852" s="9" t="str">
        <f t="shared" si="1"/>
        <v>Dec-1899</v>
      </c>
      <c r="C852" s="10"/>
      <c r="D852" s="11"/>
      <c r="E852" s="25"/>
      <c r="F852" s="21"/>
      <c r="G852" s="14"/>
      <c r="H852" s="15">
        <f t="shared" si="2"/>
        <v>0</v>
      </c>
      <c r="I852" s="16">
        <f t="shared" si="3"/>
        <v>23349.59</v>
      </c>
    </row>
    <row r="853" ht="22.5" customHeight="1">
      <c r="A853" s="8"/>
      <c r="B853" s="9" t="str">
        <f t="shared" si="1"/>
        <v>Dec-1899</v>
      </c>
      <c r="C853" s="10"/>
      <c r="D853" s="11"/>
      <c r="E853" s="25"/>
      <c r="F853" s="21"/>
      <c r="G853" s="14"/>
      <c r="H853" s="15">
        <f t="shared" si="2"/>
        <v>0</v>
      </c>
      <c r="I853" s="16">
        <f t="shared" si="3"/>
        <v>23349.59</v>
      </c>
    </row>
    <row r="854" ht="22.5" customHeight="1">
      <c r="A854" s="8"/>
      <c r="B854" s="9" t="str">
        <f t="shared" si="1"/>
        <v>Dec-1899</v>
      </c>
      <c r="C854" s="10"/>
      <c r="D854" s="11"/>
      <c r="E854" s="25"/>
      <c r="F854" s="21"/>
      <c r="G854" s="14"/>
      <c r="H854" s="15">
        <f t="shared" si="2"/>
        <v>0</v>
      </c>
      <c r="I854" s="16">
        <f t="shared" si="3"/>
        <v>23349.59</v>
      </c>
    </row>
    <row r="855" ht="22.5" customHeight="1">
      <c r="A855" s="8"/>
      <c r="B855" s="9" t="str">
        <f t="shared" si="1"/>
        <v>Dec-1899</v>
      </c>
      <c r="C855" s="10"/>
      <c r="D855" s="11"/>
      <c r="E855" s="25"/>
      <c r="F855" s="21"/>
      <c r="G855" s="14"/>
      <c r="H855" s="15">
        <f t="shared" si="2"/>
        <v>0</v>
      </c>
      <c r="I855" s="16">
        <f t="shared" si="3"/>
        <v>23349.59</v>
      </c>
    </row>
    <row r="856" ht="22.5" customHeight="1">
      <c r="A856" s="8"/>
      <c r="B856" s="9" t="str">
        <f t="shared" si="1"/>
        <v>Dec-1899</v>
      </c>
      <c r="C856" s="10"/>
      <c r="D856" s="11"/>
      <c r="E856" s="25"/>
      <c r="F856" s="21"/>
      <c r="G856" s="14"/>
      <c r="H856" s="15">
        <f t="shared" si="2"/>
        <v>0</v>
      </c>
      <c r="I856" s="16">
        <f t="shared" si="3"/>
        <v>23349.59</v>
      </c>
    </row>
    <row r="857" ht="22.5" customHeight="1">
      <c r="A857" s="8"/>
      <c r="B857" s="9" t="str">
        <f t="shared" si="1"/>
        <v>Dec-1899</v>
      </c>
      <c r="C857" s="10"/>
      <c r="D857" s="11"/>
      <c r="E857" s="25"/>
      <c r="F857" s="21"/>
      <c r="G857" s="14"/>
      <c r="H857" s="15">
        <f t="shared" si="2"/>
        <v>0</v>
      </c>
      <c r="I857" s="16">
        <f t="shared" si="3"/>
        <v>23349.59</v>
      </c>
    </row>
    <row r="858" ht="22.5" customHeight="1">
      <c r="A858" s="8"/>
      <c r="B858" s="9" t="str">
        <f t="shared" si="1"/>
        <v>Dec-1899</v>
      </c>
      <c r="C858" s="10"/>
      <c r="D858" s="11"/>
      <c r="E858" s="25"/>
      <c r="F858" s="21"/>
      <c r="G858" s="14"/>
      <c r="H858" s="15">
        <f t="shared" si="2"/>
        <v>0</v>
      </c>
      <c r="I858" s="16">
        <f t="shared" si="3"/>
        <v>23349.59</v>
      </c>
    </row>
    <row r="859" ht="22.5" customHeight="1">
      <c r="A859" s="8"/>
      <c r="B859" s="9" t="str">
        <f t="shared" si="1"/>
        <v>Dec-1899</v>
      </c>
      <c r="C859" s="10"/>
      <c r="D859" s="11"/>
      <c r="E859" s="25"/>
      <c r="F859" s="21"/>
      <c r="G859" s="14"/>
      <c r="H859" s="15">
        <f t="shared" si="2"/>
        <v>0</v>
      </c>
      <c r="I859" s="16">
        <f t="shared" si="3"/>
        <v>23349.59</v>
      </c>
    </row>
    <row r="860" ht="22.5" customHeight="1">
      <c r="A860" s="8"/>
      <c r="B860" s="9" t="str">
        <f t="shared" si="1"/>
        <v>Dec-1899</v>
      </c>
      <c r="C860" s="10"/>
      <c r="D860" s="11"/>
      <c r="E860" s="25"/>
      <c r="F860" s="21"/>
      <c r="G860" s="14"/>
      <c r="H860" s="15">
        <f t="shared" si="2"/>
        <v>0</v>
      </c>
      <c r="I860" s="16">
        <f t="shared" si="3"/>
        <v>23349.59</v>
      </c>
    </row>
    <row r="861" ht="22.5" customHeight="1">
      <c r="A861" s="8"/>
      <c r="B861" s="9" t="str">
        <f t="shared" si="1"/>
        <v>Dec-1899</v>
      </c>
      <c r="C861" s="10"/>
      <c r="D861" s="11"/>
      <c r="E861" s="25"/>
      <c r="F861" s="21"/>
      <c r="G861" s="14"/>
      <c r="H861" s="15">
        <f t="shared" si="2"/>
        <v>0</v>
      </c>
      <c r="I861" s="16">
        <f t="shared" si="3"/>
        <v>23349.59</v>
      </c>
    </row>
    <row r="862" ht="22.5" customHeight="1">
      <c r="A862" s="8"/>
      <c r="B862" s="9" t="str">
        <f t="shared" si="1"/>
        <v>Dec-1899</v>
      </c>
      <c r="C862" s="10"/>
      <c r="D862" s="11"/>
      <c r="E862" s="25"/>
      <c r="F862" s="21"/>
      <c r="G862" s="14"/>
      <c r="H862" s="15">
        <f t="shared" si="2"/>
        <v>0</v>
      </c>
      <c r="I862" s="16">
        <f t="shared" si="3"/>
        <v>23349.59</v>
      </c>
    </row>
    <row r="863" ht="22.5" customHeight="1">
      <c r="A863" s="8"/>
      <c r="B863" s="9" t="str">
        <f t="shared" si="1"/>
        <v>Dec-1899</v>
      </c>
      <c r="C863" s="10"/>
      <c r="D863" s="11"/>
      <c r="E863" s="25"/>
      <c r="F863" s="21"/>
      <c r="G863" s="14"/>
      <c r="H863" s="15">
        <f t="shared" si="2"/>
        <v>0</v>
      </c>
      <c r="I863" s="16">
        <f t="shared" si="3"/>
        <v>23349.59</v>
      </c>
    </row>
    <row r="864" ht="22.5" customHeight="1">
      <c r="A864" s="8"/>
      <c r="B864" s="9" t="str">
        <f t="shared" si="1"/>
        <v>Dec-1899</v>
      </c>
      <c r="C864" s="10"/>
      <c r="D864" s="11"/>
      <c r="E864" s="25"/>
      <c r="F864" s="21"/>
      <c r="G864" s="14"/>
      <c r="H864" s="15">
        <f t="shared" si="2"/>
        <v>0</v>
      </c>
      <c r="I864" s="16">
        <f t="shared" si="3"/>
        <v>23349.59</v>
      </c>
    </row>
    <row r="865" ht="22.5" customHeight="1">
      <c r="A865" s="8"/>
      <c r="B865" s="9" t="str">
        <f t="shared" si="1"/>
        <v>Dec-1899</v>
      </c>
      <c r="C865" s="10"/>
      <c r="D865" s="11"/>
      <c r="E865" s="25"/>
      <c r="F865" s="21"/>
      <c r="G865" s="14"/>
      <c r="H865" s="15">
        <f t="shared" si="2"/>
        <v>0</v>
      </c>
      <c r="I865" s="16">
        <f t="shared" si="3"/>
        <v>23349.59</v>
      </c>
    </row>
    <row r="866" ht="22.5" customHeight="1">
      <c r="A866" s="8"/>
      <c r="B866" s="9" t="str">
        <f t="shared" si="1"/>
        <v>Dec-1899</v>
      </c>
      <c r="C866" s="10"/>
      <c r="D866" s="11"/>
      <c r="E866" s="25"/>
      <c r="F866" s="21"/>
      <c r="G866" s="14"/>
      <c r="H866" s="15">
        <f t="shared" si="2"/>
        <v>0</v>
      </c>
      <c r="I866" s="16">
        <f t="shared" si="3"/>
        <v>23349.59</v>
      </c>
    </row>
    <row r="867" ht="22.5" customHeight="1">
      <c r="A867" s="8"/>
      <c r="B867" s="9" t="str">
        <f t="shared" si="1"/>
        <v>Dec-1899</v>
      </c>
      <c r="C867" s="10"/>
      <c r="D867" s="11"/>
      <c r="E867" s="25"/>
      <c r="F867" s="21"/>
      <c r="G867" s="14"/>
      <c r="H867" s="15">
        <f t="shared" si="2"/>
        <v>0</v>
      </c>
      <c r="I867" s="16">
        <f t="shared" si="3"/>
        <v>23349.59</v>
      </c>
    </row>
    <row r="868" ht="22.5" customHeight="1">
      <c r="A868" s="8"/>
      <c r="B868" s="9" t="str">
        <f t="shared" si="1"/>
        <v>Dec-1899</v>
      </c>
      <c r="C868" s="10"/>
      <c r="D868" s="11"/>
      <c r="E868" s="25"/>
      <c r="F868" s="21"/>
      <c r="G868" s="14"/>
      <c r="H868" s="15">
        <f t="shared" si="2"/>
        <v>0</v>
      </c>
      <c r="I868" s="16">
        <f t="shared" si="3"/>
        <v>23349.59</v>
      </c>
    </row>
    <row r="869" ht="22.5" customHeight="1">
      <c r="A869" s="8"/>
      <c r="B869" s="9" t="str">
        <f t="shared" si="1"/>
        <v>Dec-1899</v>
      </c>
      <c r="C869" s="10"/>
      <c r="D869" s="11"/>
      <c r="E869" s="25"/>
      <c r="F869" s="21"/>
      <c r="G869" s="14"/>
      <c r="H869" s="15">
        <f t="shared" si="2"/>
        <v>0</v>
      </c>
      <c r="I869" s="16">
        <f t="shared" si="3"/>
        <v>23349.59</v>
      </c>
    </row>
    <row r="870" ht="22.5" customHeight="1">
      <c r="A870" s="8"/>
      <c r="B870" s="9" t="str">
        <f t="shared" si="1"/>
        <v>Dec-1899</v>
      </c>
      <c r="C870" s="10"/>
      <c r="D870" s="11"/>
      <c r="E870" s="25"/>
      <c r="F870" s="21"/>
      <c r="G870" s="14"/>
      <c r="H870" s="15">
        <f t="shared" si="2"/>
        <v>0</v>
      </c>
      <c r="I870" s="16">
        <f t="shared" si="3"/>
        <v>23349.59</v>
      </c>
    </row>
    <row r="871" ht="22.5" customHeight="1">
      <c r="A871" s="8"/>
      <c r="B871" s="9" t="str">
        <f t="shared" si="1"/>
        <v>Dec-1899</v>
      </c>
      <c r="C871" s="10"/>
      <c r="D871" s="11"/>
      <c r="E871" s="25"/>
      <c r="F871" s="21"/>
      <c r="G871" s="14"/>
      <c r="H871" s="15">
        <f t="shared" si="2"/>
        <v>0</v>
      </c>
      <c r="I871" s="16">
        <f t="shared" si="3"/>
        <v>23349.59</v>
      </c>
    </row>
    <row r="872" ht="22.5" customHeight="1">
      <c r="A872" s="8"/>
      <c r="B872" s="9" t="str">
        <f t="shared" si="1"/>
        <v>Dec-1899</v>
      </c>
      <c r="C872" s="10"/>
      <c r="D872" s="11"/>
      <c r="E872" s="25"/>
      <c r="F872" s="21"/>
      <c r="G872" s="14"/>
      <c r="H872" s="15">
        <f t="shared" si="2"/>
        <v>0</v>
      </c>
      <c r="I872" s="16">
        <f t="shared" si="3"/>
        <v>23349.59</v>
      </c>
    </row>
    <row r="873" ht="22.5" customHeight="1">
      <c r="A873" s="8"/>
      <c r="B873" s="9" t="str">
        <f t="shared" si="1"/>
        <v>Dec-1899</v>
      </c>
      <c r="C873" s="10"/>
      <c r="D873" s="11"/>
      <c r="E873" s="25"/>
      <c r="F873" s="21"/>
      <c r="G873" s="14"/>
      <c r="H873" s="15">
        <f t="shared" si="2"/>
        <v>0</v>
      </c>
      <c r="I873" s="16">
        <f t="shared" si="3"/>
        <v>23349.59</v>
      </c>
    </row>
    <row r="874" ht="22.5" customHeight="1">
      <c r="A874" s="8"/>
      <c r="B874" s="9" t="str">
        <f t="shared" si="1"/>
        <v>Dec-1899</v>
      </c>
      <c r="C874" s="10"/>
      <c r="D874" s="11"/>
      <c r="E874" s="25"/>
      <c r="F874" s="21"/>
      <c r="G874" s="14"/>
      <c r="H874" s="15">
        <f t="shared" si="2"/>
        <v>0</v>
      </c>
      <c r="I874" s="16">
        <f t="shared" si="3"/>
        <v>23349.59</v>
      </c>
    </row>
    <row r="875" ht="22.5" customHeight="1">
      <c r="A875" s="8"/>
      <c r="B875" s="9" t="str">
        <f t="shared" si="1"/>
        <v>Dec-1899</v>
      </c>
      <c r="C875" s="10"/>
      <c r="D875" s="11"/>
      <c r="E875" s="25"/>
      <c r="F875" s="21"/>
      <c r="G875" s="14"/>
      <c r="H875" s="15">
        <f t="shared" si="2"/>
        <v>0</v>
      </c>
      <c r="I875" s="16">
        <f t="shared" si="3"/>
        <v>23349.59</v>
      </c>
    </row>
    <row r="876" ht="22.5" customHeight="1">
      <c r="A876" s="8"/>
      <c r="B876" s="9" t="str">
        <f t="shared" si="1"/>
        <v>Dec-1899</v>
      </c>
      <c r="C876" s="10"/>
      <c r="D876" s="11"/>
      <c r="E876" s="25"/>
      <c r="F876" s="21"/>
      <c r="G876" s="14"/>
      <c r="H876" s="15">
        <f t="shared" si="2"/>
        <v>0</v>
      </c>
      <c r="I876" s="16">
        <f t="shared" si="3"/>
        <v>23349.59</v>
      </c>
    </row>
    <row r="877" ht="22.5" customHeight="1">
      <c r="A877" s="8"/>
      <c r="B877" s="9" t="str">
        <f t="shared" si="1"/>
        <v>Dec-1899</v>
      </c>
      <c r="C877" s="10"/>
      <c r="D877" s="11"/>
      <c r="E877" s="25"/>
      <c r="F877" s="21"/>
      <c r="G877" s="14"/>
      <c r="H877" s="15">
        <f t="shared" si="2"/>
        <v>0</v>
      </c>
      <c r="I877" s="16">
        <f t="shared" si="3"/>
        <v>23349.59</v>
      </c>
    </row>
    <row r="878" ht="22.5" customHeight="1">
      <c r="A878" s="8"/>
      <c r="B878" s="9" t="str">
        <f t="shared" si="1"/>
        <v>Dec-1899</v>
      </c>
      <c r="C878" s="10"/>
      <c r="D878" s="11"/>
      <c r="E878" s="25"/>
      <c r="F878" s="21"/>
      <c r="G878" s="14"/>
      <c r="H878" s="15">
        <f t="shared" si="2"/>
        <v>0</v>
      </c>
      <c r="I878" s="16">
        <f t="shared" si="3"/>
        <v>23349.59</v>
      </c>
    </row>
    <row r="879" ht="22.5" customHeight="1">
      <c r="A879" s="8"/>
      <c r="B879" s="9" t="str">
        <f t="shared" si="1"/>
        <v>Dec-1899</v>
      </c>
      <c r="C879" s="10"/>
      <c r="D879" s="11"/>
      <c r="E879" s="25"/>
      <c r="F879" s="21"/>
      <c r="G879" s="14"/>
      <c r="H879" s="15">
        <f t="shared" si="2"/>
        <v>0</v>
      </c>
      <c r="I879" s="16">
        <f t="shared" si="3"/>
        <v>23349.59</v>
      </c>
    </row>
    <row r="880" ht="22.5" customHeight="1">
      <c r="A880" s="8"/>
      <c r="B880" s="9" t="str">
        <f t="shared" si="1"/>
        <v>Dec-1899</v>
      </c>
      <c r="C880" s="10"/>
      <c r="D880" s="11"/>
      <c r="E880" s="25"/>
      <c r="F880" s="21"/>
      <c r="G880" s="14"/>
      <c r="H880" s="15">
        <f t="shared" si="2"/>
        <v>0</v>
      </c>
      <c r="I880" s="16">
        <f t="shared" si="3"/>
        <v>23349.59</v>
      </c>
    </row>
    <row r="881" ht="22.5" customHeight="1">
      <c r="A881" s="8"/>
      <c r="B881" s="9" t="str">
        <f t="shared" si="1"/>
        <v>Dec-1899</v>
      </c>
      <c r="C881" s="10"/>
      <c r="D881" s="11"/>
      <c r="E881" s="25"/>
      <c r="F881" s="21"/>
      <c r="G881" s="14"/>
      <c r="H881" s="15">
        <f t="shared" si="2"/>
        <v>0</v>
      </c>
      <c r="I881" s="16">
        <f t="shared" si="3"/>
        <v>23349.59</v>
      </c>
    </row>
    <row r="882" ht="22.5" customHeight="1">
      <c r="A882" s="8"/>
      <c r="B882" s="9" t="str">
        <f t="shared" si="1"/>
        <v>Dec-1899</v>
      </c>
      <c r="C882" s="10"/>
      <c r="D882" s="11"/>
      <c r="E882" s="25"/>
      <c r="F882" s="21"/>
      <c r="G882" s="14"/>
      <c r="H882" s="15">
        <f t="shared" si="2"/>
        <v>0</v>
      </c>
      <c r="I882" s="16">
        <f t="shared" si="3"/>
        <v>23349.59</v>
      </c>
    </row>
    <row r="883" ht="22.5" customHeight="1">
      <c r="A883" s="8"/>
      <c r="B883" s="9" t="str">
        <f t="shared" si="1"/>
        <v>Dec-1899</v>
      </c>
      <c r="C883" s="10"/>
      <c r="D883" s="11"/>
      <c r="E883" s="25"/>
      <c r="F883" s="21"/>
      <c r="G883" s="14"/>
      <c r="H883" s="15">
        <f t="shared" si="2"/>
        <v>0</v>
      </c>
      <c r="I883" s="16">
        <f t="shared" si="3"/>
        <v>23349.59</v>
      </c>
    </row>
    <row r="884" ht="22.5" customHeight="1">
      <c r="A884" s="8"/>
      <c r="B884" s="9" t="str">
        <f t="shared" si="1"/>
        <v>Dec-1899</v>
      </c>
      <c r="C884" s="10"/>
      <c r="D884" s="11"/>
      <c r="E884" s="25"/>
      <c r="F884" s="21"/>
      <c r="G884" s="14"/>
      <c r="H884" s="15">
        <f t="shared" si="2"/>
        <v>0</v>
      </c>
      <c r="I884" s="16">
        <f t="shared" si="3"/>
        <v>23349.59</v>
      </c>
    </row>
    <row r="885" ht="22.5" customHeight="1">
      <c r="A885" s="8"/>
      <c r="B885" s="9" t="str">
        <f t="shared" si="1"/>
        <v>Dec-1899</v>
      </c>
      <c r="C885" s="10"/>
      <c r="D885" s="11"/>
      <c r="E885" s="25"/>
      <c r="F885" s="21"/>
      <c r="G885" s="14"/>
      <c r="H885" s="15">
        <f t="shared" si="2"/>
        <v>0</v>
      </c>
      <c r="I885" s="16">
        <f t="shared" si="3"/>
        <v>23349.59</v>
      </c>
    </row>
    <row r="886" ht="22.5" customHeight="1">
      <c r="A886" s="8"/>
      <c r="B886" s="9" t="str">
        <f t="shared" si="1"/>
        <v>Dec-1899</v>
      </c>
      <c r="C886" s="10"/>
      <c r="D886" s="11"/>
      <c r="E886" s="25"/>
      <c r="F886" s="21"/>
      <c r="G886" s="14"/>
      <c r="H886" s="15">
        <f t="shared" si="2"/>
        <v>0</v>
      </c>
      <c r="I886" s="16">
        <f t="shared" si="3"/>
        <v>23349.59</v>
      </c>
    </row>
    <row r="887" ht="22.5" customHeight="1">
      <c r="A887" s="8"/>
      <c r="B887" s="9" t="str">
        <f t="shared" si="1"/>
        <v>Dec-1899</v>
      </c>
      <c r="C887" s="10"/>
      <c r="D887" s="11"/>
      <c r="E887" s="25"/>
      <c r="F887" s="21"/>
      <c r="G887" s="14"/>
      <c r="H887" s="15">
        <f t="shared" si="2"/>
        <v>0</v>
      </c>
      <c r="I887" s="16">
        <f t="shared" si="3"/>
        <v>23349.59</v>
      </c>
    </row>
    <row r="888" ht="22.5" customHeight="1">
      <c r="A888" s="8"/>
      <c r="B888" s="9" t="str">
        <f t="shared" si="1"/>
        <v>Dec-1899</v>
      </c>
      <c r="C888" s="10"/>
      <c r="D888" s="11"/>
      <c r="E888" s="25"/>
      <c r="F888" s="21"/>
      <c r="G888" s="14"/>
      <c r="H888" s="15">
        <f t="shared" si="2"/>
        <v>0</v>
      </c>
      <c r="I888" s="16">
        <f t="shared" si="3"/>
        <v>23349.59</v>
      </c>
    </row>
    <row r="889" ht="22.5" customHeight="1">
      <c r="A889" s="8"/>
      <c r="B889" s="9" t="str">
        <f t="shared" si="1"/>
        <v>Dec-1899</v>
      </c>
      <c r="C889" s="10"/>
      <c r="D889" s="11"/>
      <c r="E889" s="25"/>
      <c r="F889" s="21"/>
      <c r="G889" s="14"/>
      <c r="H889" s="15">
        <f t="shared" si="2"/>
        <v>0</v>
      </c>
      <c r="I889" s="16">
        <f t="shared" si="3"/>
        <v>23349.59</v>
      </c>
    </row>
    <row r="890" ht="22.5" customHeight="1">
      <c r="A890" s="8"/>
      <c r="B890" s="9" t="str">
        <f t="shared" si="1"/>
        <v>Dec-1899</v>
      </c>
      <c r="C890" s="10"/>
      <c r="D890" s="11"/>
      <c r="E890" s="25"/>
      <c r="F890" s="21"/>
      <c r="G890" s="14"/>
      <c r="H890" s="15">
        <f t="shared" si="2"/>
        <v>0</v>
      </c>
      <c r="I890" s="16">
        <f t="shared" si="3"/>
        <v>23349.59</v>
      </c>
    </row>
    <row r="891" ht="22.5" customHeight="1">
      <c r="A891" s="8"/>
      <c r="B891" s="9" t="str">
        <f t="shared" si="1"/>
        <v>Dec-1899</v>
      </c>
      <c r="C891" s="10"/>
      <c r="D891" s="11"/>
      <c r="E891" s="25"/>
      <c r="F891" s="21"/>
      <c r="G891" s="14"/>
      <c r="H891" s="15">
        <f t="shared" si="2"/>
        <v>0</v>
      </c>
      <c r="I891" s="16">
        <f t="shared" si="3"/>
        <v>23349.59</v>
      </c>
    </row>
    <row r="892" ht="22.5" customHeight="1">
      <c r="A892" s="8"/>
      <c r="B892" s="9" t="str">
        <f t="shared" si="1"/>
        <v>Dec-1899</v>
      </c>
      <c r="C892" s="10"/>
      <c r="D892" s="11"/>
      <c r="E892" s="25"/>
      <c r="F892" s="21"/>
      <c r="G892" s="14"/>
      <c r="H892" s="15">
        <f t="shared" si="2"/>
        <v>0</v>
      </c>
      <c r="I892" s="16">
        <f t="shared" si="3"/>
        <v>23349.59</v>
      </c>
    </row>
    <row r="893" ht="22.5" customHeight="1">
      <c r="A893" s="8"/>
      <c r="B893" s="9" t="str">
        <f t="shared" si="1"/>
        <v>Dec-1899</v>
      </c>
      <c r="C893" s="10"/>
      <c r="D893" s="11"/>
      <c r="E893" s="25"/>
      <c r="F893" s="21"/>
      <c r="G893" s="14"/>
      <c r="H893" s="15">
        <f t="shared" si="2"/>
        <v>0</v>
      </c>
      <c r="I893" s="16">
        <f t="shared" si="3"/>
        <v>23349.59</v>
      </c>
    </row>
    <row r="894" ht="22.5" customHeight="1">
      <c r="A894" s="8"/>
      <c r="B894" s="9" t="str">
        <f t="shared" si="1"/>
        <v>Dec-1899</v>
      </c>
      <c r="C894" s="10"/>
      <c r="D894" s="11"/>
      <c r="E894" s="25"/>
      <c r="F894" s="21"/>
      <c r="G894" s="14"/>
      <c r="H894" s="15">
        <f t="shared" si="2"/>
        <v>0</v>
      </c>
      <c r="I894" s="16">
        <f t="shared" si="3"/>
        <v>23349.59</v>
      </c>
    </row>
    <row r="895" ht="22.5" customHeight="1">
      <c r="A895" s="8"/>
      <c r="B895" s="9" t="str">
        <f t="shared" si="1"/>
        <v>Dec-1899</v>
      </c>
      <c r="C895" s="10"/>
      <c r="D895" s="11"/>
      <c r="E895" s="25"/>
      <c r="F895" s="21"/>
      <c r="G895" s="14"/>
      <c r="H895" s="15">
        <f t="shared" si="2"/>
        <v>0</v>
      </c>
      <c r="I895" s="16">
        <f t="shared" si="3"/>
        <v>23349.59</v>
      </c>
    </row>
    <row r="896" ht="22.5" customHeight="1">
      <c r="A896" s="8"/>
      <c r="B896" s="9" t="str">
        <f t="shared" si="1"/>
        <v>Dec-1899</v>
      </c>
      <c r="C896" s="10"/>
      <c r="D896" s="11"/>
      <c r="E896" s="25"/>
      <c r="F896" s="21"/>
      <c r="G896" s="14"/>
      <c r="H896" s="15">
        <f t="shared" si="2"/>
        <v>0</v>
      </c>
      <c r="I896" s="16">
        <f t="shared" si="3"/>
        <v>23349.59</v>
      </c>
    </row>
    <row r="897" ht="22.5" customHeight="1">
      <c r="A897" s="8"/>
      <c r="B897" s="9" t="str">
        <f t="shared" si="1"/>
        <v>Dec-1899</v>
      </c>
      <c r="C897" s="10"/>
      <c r="D897" s="11"/>
      <c r="E897" s="25"/>
      <c r="F897" s="21"/>
      <c r="G897" s="14"/>
      <c r="H897" s="15">
        <f t="shared" si="2"/>
        <v>0</v>
      </c>
      <c r="I897" s="16">
        <f t="shared" si="3"/>
        <v>23349.59</v>
      </c>
    </row>
    <row r="898" ht="22.5" customHeight="1">
      <c r="A898" s="8"/>
      <c r="B898" s="9" t="str">
        <f t="shared" si="1"/>
        <v>Dec-1899</v>
      </c>
      <c r="C898" s="10"/>
      <c r="D898" s="11"/>
      <c r="E898" s="25"/>
      <c r="F898" s="21"/>
      <c r="G898" s="14"/>
      <c r="H898" s="15">
        <f t="shared" si="2"/>
        <v>0</v>
      </c>
      <c r="I898" s="16">
        <f t="shared" si="3"/>
        <v>23349.59</v>
      </c>
    </row>
    <row r="899" ht="22.5" customHeight="1">
      <c r="A899" s="8"/>
      <c r="B899" s="9" t="str">
        <f t="shared" si="1"/>
        <v>Dec-1899</v>
      </c>
      <c r="C899" s="10"/>
      <c r="D899" s="11"/>
      <c r="E899" s="25"/>
      <c r="F899" s="21"/>
      <c r="G899" s="14"/>
      <c r="H899" s="15">
        <f t="shared" si="2"/>
        <v>0</v>
      </c>
      <c r="I899" s="16">
        <f t="shared" si="3"/>
        <v>23349.59</v>
      </c>
    </row>
    <row r="900" ht="22.5" customHeight="1">
      <c r="A900" s="8"/>
      <c r="B900" s="9" t="str">
        <f t="shared" si="1"/>
        <v>Dec-1899</v>
      </c>
      <c r="C900" s="10"/>
      <c r="D900" s="11"/>
      <c r="E900" s="25"/>
      <c r="F900" s="21"/>
      <c r="G900" s="14"/>
      <c r="H900" s="15">
        <f t="shared" si="2"/>
        <v>0</v>
      </c>
      <c r="I900" s="16">
        <f t="shared" si="3"/>
        <v>23349.59</v>
      </c>
    </row>
    <row r="901" ht="22.5" customHeight="1">
      <c r="A901" s="8"/>
      <c r="B901" s="9" t="str">
        <f t="shared" si="1"/>
        <v>Dec-1899</v>
      </c>
      <c r="C901" s="10"/>
      <c r="D901" s="11"/>
      <c r="E901" s="25"/>
      <c r="F901" s="21"/>
      <c r="G901" s="14"/>
      <c r="H901" s="15">
        <f t="shared" si="2"/>
        <v>0</v>
      </c>
      <c r="I901" s="16">
        <f t="shared" si="3"/>
        <v>23349.59</v>
      </c>
    </row>
    <row r="902" ht="22.5" customHeight="1">
      <c r="A902" s="8"/>
      <c r="B902" s="9" t="str">
        <f t="shared" si="1"/>
        <v>Dec-1899</v>
      </c>
      <c r="C902" s="10"/>
      <c r="D902" s="11"/>
      <c r="E902" s="25"/>
      <c r="F902" s="21"/>
      <c r="G902" s="14"/>
      <c r="H902" s="15">
        <f t="shared" si="2"/>
        <v>0</v>
      </c>
      <c r="I902" s="16">
        <f t="shared" si="3"/>
        <v>23349.59</v>
      </c>
    </row>
    <row r="903" ht="22.5" customHeight="1">
      <c r="A903" s="8"/>
      <c r="B903" s="9" t="str">
        <f t="shared" si="1"/>
        <v>Dec-1899</v>
      </c>
      <c r="C903" s="10"/>
      <c r="D903" s="11"/>
      <c r="E903" s="25"/>
      <c r="F903" s="21"/>
      <c r="G903" s="14"/>
      <c r="H903" s="15">
        <f t="shared" si="2"/>
        <v>0</v>
      </c>
      <c r="I903" s="16">
        <f t="shared" si="3"/>
        <v>23349.59</v>
      </c>
    </row>
    <row r="904" ht="22.5" customHeight="1">
      <c r="A904" s="8"/>
      <c r="B904" s="9" t="str">
        <f t="shared" si="1"/>
        <v>Dec-1899</v>
      </c>
      <c r="C904" s="10"/>
      <c r="D904" s="11"/>
      <c r="E904" s="25"/>
      <c r="F904" s="21"/>
      <c r="G904" s="14"/>
      <c r="H904" s="15">
        <f t="shared" si="2"/>
        <v>0</v>
      </c>
      <c r="I904" s="16">
        <f t="shared" si="3"/>
        <v>23349.59</v>
      </c>
    </row>
    <row r="905" ht="22.5" customHeight="1">
      <c r="A905" s="8"/>
      <c r="B905" s="9" t="str">
        <f t="shared" si="1"/>
        <v>Dec-1899</v>
      </c>
      <c r="C905" s="10"/>
      <c r="D905" s="11"/>
      <c r="E905" s="25"/>
      <c r="F905" s="21"/>
      <c r="G905" s="14"/>
      <c r="H905" s="15">
        <f t="shared" si="2"/>
        <v>0</v>
      </c>
      <c r="I905" s="16">
        <f t="shared" si="3"/>
        <v>23349.59</v>
      </c>
    </row>
    <row r="906" ht="22.5" customHeight="1">
      <c r="A906" s="8"/>
      <c r="B906" s="9" t="str">
        <f t="shared" si="1"/>
        <v>Dec-1899</v>
      </c>
      <c r="C906" s="10"/>
      <c r="D906" s="11"/>
      <c r="E906" s="25"/>
      <c r="F906" s="21"/>
      <c r="G906" s="14"/>
      <c r="H906" s="15">
        <f t="shared" si="2"/>
        <v>0</v>
      </c>
      <c r="I906" s="16">
        <f t="shared" si="3"/>
        <v>23349.59</v>
      </c>
    </row>
    <row r="907" ht="22.5" customHeight="1">
      <c r="A907" s="8"/>
      <c r="B907" s="9" t="str">
        <f t="shared" si="1"/>
        <v>Dec-1899</v>
      </c>
      <c r="C907" s="10"/>
      <c r="D907" s="11"/>
      <c r="E907" s="25"/>
      <c r="F907" s="21"/>
      <c r="G907" s="14"/>
      <c r="H907" s="15">
        <f t="shared" si="2"/>
        <v>0</v>
      </c>
      <c r="I907" s="16">
        <f t="shared" si="3"/>
        <v>23349.59</v>
      </c>
    </row>
    <row r="908" ht="22.5" customHeight="1">
      <c r="A908" s="8"/>
      <c r="B908" s="9" t="str">
        <f t="shared" si="1"/>
        <v>Dec-1899</v>
      </c>
      <c r="C908" s="10"/>
      <c r="D908" s="11"/>
      <c r="E908" s="25"/>
      <c r="F908" s="21"/>
      <c r="G908" s="14"/>
      <c r="H908" s="15">
        <f t="shared" si="2"/>
        <v>0</v>
      </c>
      <c r="I908" s="16">
        <f t="shared" si="3"/>
        <v>23349.59</v>
      </c>
    </row>
    <row r="909" ht="22.5" customHeight="1">
      <c r="A909" s="8"/>
      <c r="B909" s="9" t="str">
        <f t="shared" si="1"/>
        <v>Dec-1899</v>
      </c>
      <c r="C909" s="10"/>
      <c r="D909" s="11"/>
      <c r="E909" s="25"/>
      <c r="F909" s="21"/>
      <c r="G909" s="14"/>
      <c r="H909" s="15">
        <f t="shared" si="2"/>
        <v>0</v>
      </c>
      <c r="I909" s="16">
        <f t="shared" si="3"/>
        <v>23349.59</v>
      </c>
    </row>
    <row r="910" ht="22.5" customHeight="1">
      <c r="A910" s="8"/>
      <c r="B910" s="9" t="str">
        <f t="shared" si="1"/>
        <v>Dec-1899</v>
      </c>
      <c r="C910" s="10"/>
      <c r="D910" s="11"/>
      <c r="E910" s="25"/>
      <c r="F910" s="21"/>
      <c r="G910" s="14"/>
      <c r="H910" s="15">
        <f t="shared" si="2"/>
        <v>0</v>
      </c>
      <c r="I910" s="16">
        <f t="shared" si="3"/>
        <v>23349.59</v>
      </c>
    </row>
    <row r="911" ht="22.5" customHeight="1">
      <c r="A911" s="8"/>
      <c r="B911" s="9" t="str">
        <f t="shared" si="1"/>
        <v>Dec-1899</v>
      </c>
      <c r="C911" s="10"/>
      <c r="D911" s="11"/>
      <c r="E911" s="25"/>
      <c r="F911" s="21"/>
      <c r="G911" s="14"/>
      <c r="H911" s="15">
        <f t="shared" si="2"/>
        <v>0</v>
      </c>
      <c r="I911" s="16">
        <f t="shared" si="3"/>
        <v>23349.59</v>
      </c>
    </row>
    <row r="912" ht="22.5" customHeight="1">
      <c r="A912" s="8"/>
      <c r="B912" s="9" t="str">
        <f t="shared" si="1"/>
        <v>Dec-1899</v>
      </c>
      <c r="C912" s="10"/>
      <c r="D912" s="11"/>
      <c r="E912" s="25"/>
      <c r="F912" s="21"/>
      <c r="G912" s="14"/>
      <c r="H912" s="15">
        <f t="shared" si="2"/>
        <v>0</v>
      </c>
      <c r="I912" s="16">
        <f t="shared" si="3"/>
        <v>23349.59</v>
      </c>
    </row>
    <row r="913" ht="22.5" customHeight="1">
      <c r="A913" s="8"/>
      <c r="B913" s="9" t="str">
        <f t="shared" si="1"/>
        <v>Dec-1899</v>
      </c>
      <c r="C913" s="10"/>
      <c r="D913" s="11"/>
      <c r="E913" s="25"/>
      <c r="F913" s="21"/>
      <c r="G913" s="14"/>
      <c r="H913" s="15">
        <f t="shared" si="2"/>
        <v>0</v>
      </c>
      <c r="I913" s="16">
        <f t="shared" si="3"/>
        <v>23349.59</v>
      </c>
    </row>
    <row r="914" ht="22.5" customHeight="1">
      <c r="A914" s="8"/>
      <c r="B914" s="9" t="str">
        <f t="shared" si="1"/>
        <v>Dec-1899</v>
      </c>
      <c r="C914" s="10"/>
      <c r="D914" s="11"/>
      <c r="E914" s="25"/>
      <c r="F914" s="21"/>
      <c r="G914" s="14"/>
      <c r="H914" s="15">
        <f t="shared" si="2"/>
        <v>0</v>
      </c>
      <c r="I914" s="16">
        <f t="shared" si="3"/>
        <v>23349.59</v>
      </c>
    </row>
    <row r="915" ht="22.5" customHeight="1">
      <c r="A915" s="8"/>
      <c r="B915" s="9" t="str">
        <f t="shared" si="1"/>
        <v>Dec-1899</v>
      </c>
      <c r="C915" s="10"/>
      <c r="D915" s="11"/>
      <c r="E915" s="25"/>
      <c r="F915" s="21"/>
      <c r="G915" s="14"/>
      <c r="H915" s="15">
        <f t="shared" si="2"/>
        <v>0</v>
      </c>
      <c r="I915" s="16">
        <f t="shared" si="3"/>
        <v>23349.59</v>
      </c>
    </row>
    <row r="916" ht="22.5" customHeight="1">
      <c r="A916" s="8"/>
      <c r="B916" s="9" t="str">
        <f t="shared" si="1"/>
        <v>Dec-1899</v>
      </c>
      <c r="C916" s="10"/>
      <c r="D916" s="11"/>
      <c r="E916" s="25"/>
      <c r="F916" s="21"/>
      <c r="G916" s="14"/>
      <c r="H916" s="15">
        <f t="shared" si="2"/>
        <v>0</v>
      </c>
      <c r="I916" s="16">
        <f t="shared" si="3"/>
        <v>23349.59</v>
      </c>
    </row>
    <row r="917" ht="22.5" customHeight="1">
      <c r="A917" s="8"/>
      <c r="B917" s="9" t="str">
        <f t="shared" si="1"/>
        <v>Dec-1899</v>
      </c>
      <c r="C917" s="10"/>
      <c r="D917" s="11"/>
      <c r="E917" s="25"/>
      <c r="F917" s="21"/>
      <c r="G917" s="14"/>
      <c r="H917" s="15">
        <f t="shared" si="2"/>
        <v>0</v>
      </c>
      <c r="I917" s="16">
        <f t="shared" si="3"/>
        <v>23349.59</v>
      </c>
    </row>
    <row r="918" ht="22.5" customHeight="1">
      <c r="A918" s="8"/>
      <c r="B918" s="9" t="str">
        <f t="shared" si="1"/>
        <v>Dec-1899</v>
      </c>
      <c r="C918" s="10"/>
      <c r="D918" s="11"/>
      <c r="E918" s="25"/>
      <c r="F918" s="21"/>
      <c r="G918" s="14"/>
      <c r="H918" s="15">
        <f t="shared" si="2"/>
        <v>0</v>
      </c>
      <c r="I918" s="16">
        <f t="shared" si="3"/>
        <v>23349.59</v>
      </c>
    </row>
    <row r="919" ht="22.5" customHeight="1">
      <c r="A919" s="8"/>
      <c r="B919" s="9" t="str">
        <f t="shared" si="1"/>
        <v>Dec-1899</v>
      </c>
      <c r="C919" s="10"/>
      <c r="D919" s="11"/>
      <c r="E919" s="25"/>
      <c r="F919" s="21"/>
      <c r="G919" s="14"/>
      <c r="H919" s="15">
        <f t="shared" si="2"/>
        <v>0</v>
      </c>
      <c r="I919" s="16">
        <f t="shared" si="3"/>
        <v>23349.59</v>
      </c>
    </row>
    <row r="920" ht="22.5" customHeight="1">
      <c r="A920" s="8"/>
      <c r="B920" s="9" t="str">
        <f t="shared" si="1"/>
        <v>Dec-1899</v>
      </c>
      <c r="C920" s="10"/>
      <c r="D920" s="11"/>
      <c r="E920" s="25"/>
      <c r="F920" s="21"/>
      <c r="G920" s="14"/>
      <c r="H920" s="15">
        <f t="shared" si="2"/>
        <v>0</v>
      </c>
      <c r="I920" s="16">
        <f t="shared" si="3"/>
        <v>23349.59</v>
      </c>
    </row>
    <row r="921" ht="22.5" customHeight="1">
      <c r="A921" s="8"/>
      <c r="B921" s="9" t="str">
        <f t="shared" si="1"/>
        <v>Dec-1899</v>
      </c>
      <c r="C921" s="10"/>
      <c r="D921" s="11"/>
      <c r="E921" s="25"/>
      <c r="F921" s="21"/>
      <c r="G921" s="14"/>
      <c r="H921" s="15">
        <f t="shared" si="2"/>
        <v>0</v>
      </c>
      <c r="I921" s="16">
        <f t="shared" si="3"/>
        <v>23349.59</v>
      </c>
    </row>
    <row r="922" ht="22.5" customHeight="1">
      <c r="A922" s="8"/>
      <c r="B922" s="9" t="str">
        <f t="shared" si="1"/>
        <v>Dec-1899</v>
      </c>
      <c r="C922" s="10"/>
      <c r="D922" s="11"/>
      <c r="E922" s="25"/>
      <c r="F922" s="21"/>
      <c r="G922" s="14"/>
      <c r="H922" s="15">
        <f t="shared" si="2"/>
        <v>0</v>
      </c>
      <c r="I922" s="16">
        <f t="shared" si="3"/>
        <v>23349.59</v>
      </c>
    </row>
    <row r="923" ht="22.5" customHeight="1">
      <c r="A923" s="8"/>
      <c r="B923" s="9" t="str">
        <f t="shared" si="1"/>
        <v>Dec-1899</v>
      </c>
      <c r="C923" s="10"/>
      <c r="D923" s="11"/>
      <c r="E923" s="25"/>
      <c r="F923" s="21"/>
      <c r="G923" s="14"/>
      <c r="H923" s="15">
        <f t="shared" si="2"/>
        <v>0</v>
      </c>
      <c r="I923" s="16">
        <f t="shared" si="3"/>
        <v>23349.59</v>
      </c>
    </row>
    <row r="924" ht="22.5" customHeight="1">
      <c r="A924" s="8"/>
      <c r="B924" s="9" t="str">
        <f t="shared" si="1"/>
        <v>Dec-1899</v>
      </c>
      <c r="C924" s="10"/>
      <c r="D924" s="11"/>
      <c r="E924" s="25"/>
      <c r="F924" s="21"/>
      <c r="G924" s="14"/>
      <c r="H924" s="15">
        <f t="shared" si="2"/>
        <v>0</v>
      </c>
      <c r="I924" s="16">
        <f t="shared" si="3"/>
        <v>23349.59</v>
      </c>
    </row>
    <row r="925" ht="22.5" customHeight="1">
      <c r="A925" s="8"/>
      <c r="B925" s="9" t="str">
        <f t="shared" si="1"/>
        <v>Dec-1899</v>
      </c>
      <c r="C925" s="10"/>
      <c r="D925" s="11"/>
      <c r="E925" s="25"/>
      <c r="F925" s="21"/>
      <c r="G925" s="14"/>
      <c r="H925" s="15">
        <f t="shared" si="2"/>
        <v>0</v>
      </c>
      <c r="I925" s="16">
        <f t="shared" si="3"/>
        <v>23349.59</v>
      </c>
    </row>
    <row r="926" ht="22.5" customHeight="1">
      <c r="A926" s="8"/>
      <c r="B926" s="9" t="str">
        <f t="shared" si="1"/>
        <v>Dec-1899</v>
      </c>
      <c r="C926" s="10"/>
      <c r="D926" s="11"/>
      <c r="E926" s="25"/>
      <c r="F926" s="21"/>
      <c r="G926" s="14"/>
      <c r="H926" s="15">
        <f t="shared" si="2"/>
        <v>0</v>
      </c>
      <c r="I926" s="16">
        <f t="shared" si="3"/>
        <v>23349.59</v>
      </c>
    </row>
    <row r="927" ht="22.5" customHeight="1">
      <c r="A927" s="8"/>
      <c r="B927" s="9" t="str">
        <f t="shared" si="1"/>
        <v>Dec-1899</v>
      </c>
      <c r="C927" s="10"/>
      <c r="D927" s="11"/>
      <c r="E927" s="25"/>
      <c r="F927" s="21"/>
      <c r="G927" s="14"/>
      <c r="H927" s="15">
        <f t="shared" si="2"/>
        <v>0</v>
      </c>
      <c r="I927" s="16">
        <f t="shared" si="3"/>
        <v>23349.59</v>
      </c>
    </row>
    <row r="928" ht="22.5" customHeight="1">
      <c r="A928" s="8"/>
      <c r="B928" s="9" t="str">
        <f t="shared" si="1"/>
        <v>Dec-1899</v>
      </c>
      <c r="C928" s="10"/>
      <c r="D928" s="11"/>
      <c r="E928" s="25"/>
      <c r="F928" s="21"/>
      <c r="G928" s="14"/>
      <c r="H928" s="15">
        <f t="shared" si="2"/>
        <v>0</v>
      </c>
      <c r="I928" s="16">
        <f t="shared" si="3"/>
        <v>23349.59</v>
      </c>
    </row>
    <row r="929" ht="22.5" customHeight="1">
      <c r="A929" s="8"/>
      <c r="B929" s="9" t="str">
        <f t="shared" si="1"/>
        <v>Dec-1899</v>
      </c>
      <c r="C929" s="10"/>
      <c r="D929" s="11"/>
      <c r="E929" s="25"/>
      <c r="F929" s="21"/>
      <c r="G929" s="14"/>
      <c r="H929" s="15">
        <f t="shared" si="2"/>
        <v>0</v>
      </c>
      <c r="I929" s="16">
        <f t="shared" si="3"/>
        <v>23349.59</v>
      </c>
    </row>
    <row r="930" ht="22.5" customHeight="1">
      <c r="A930" s="8"/>
      <c r="B930" s="9" t="str">
        <f t="shared" si="1"/>
        <v>Dec-1899</v>
      </c>
      <c r="C930" s="10"/>
      <c r="D930" s="11"/>
      <c r="E930" s="25"/>
      <c r="F930" s="21"/>
      <c r="G930" s="14"/>
      <c r="H930" s="15">
        <f t="shared" si="2"/>
        <v>0</v>
      </c>
      <c r="I930" s="16">
        <f t="shared" si="3"/>
        <v>23349.59</v>
      </c>
    </row>
    <row r="931" ht="22.5" customHeight="1">
      <c r="A931" s="8"/>
      <c r="B931" s="9" t="str">
        <f t="shared" si="1"/>
        <v>Dec-1899</v>
      </c>
      <c r="C931" s="10"/>
      <c r="D931" s="11"/>
      <c r="E931" s="25"/>
      <c r="F931" s="21"/>
      <c r="G931" s="14"/>
      <c r="H931" s="15">
        <f t="shared" si="2"/>
        <v>0</v>
      </c>
      <c r="I931" s="16">
        <f t="shared" si="3"/>
        <v>23349.59</v>
      </c>
    </row>
    <row r="932" ht="22.5" customHeight="1">
      <c r="A932" s="8"/>
      <c r="B932" s="9" t="str">
        <f t="shared" si="1"/>
        <v>Dec-1899</v>
      </c>
      <c r="C932" s="10"/>
      <c r="D932" s="11"/>
      <c r="E932" s="25"/>
      <c r="F932" s="21"/>
      <c r="G932" s="14"/>
      <c r="H932" s="15">
        <f t="shared" si="2"/>
        <v>0</v>
      </c>
      <c r="I932" s="16">
        <f t="shared" si="3"/>
        <v>23349.59</v>
      </c>
    </row>
    <row r="933" ht="22.5" customHeight="1">
      <c r="A933" s="8"/>
      <c r="B933" s="9" t="str">
        <f t="shared" si="1"/>
        <v>Dec-1899</v>
      </c>
      <c r="C933" s="10"/>
      <c r="D933" s="11"/>
      <c r="E933" s="25"/>
      <c r="F933" s="21"/>
      <c r="G933" s="14"/>
      <c r="H933" s="15">
        <f t="shared" si="2"/>
        <v>0</v>
      </c>
      <c r="I933" s="16">
        <f t="shared" si="3"/>
        <v>23349.59</v>
      </c>
    </row>
    <row r="934" ht="22.5" customHeight="1">
      <c r="A934" s="8"/>
      <c r="B934" s="9" t="str">
        <f t="shared" si="1"/>
        <v>Dec-1899</v>
      </c>
      <c r="C934" s="10"/>
      <c r="D934" s="11"/>
      <c r="E934" s="25"/>
      <c r="F934" s="21"/>
      <c r="G934" s="14"/>
      <c r="H934" s="15">
        <f t="shared" si="2"/>
        <v>0</v>
      </c>
      <c r="I934" s="16">
        <f t="shared" si="3"/>
        <v>23349.59</v>
      </c>
    </row>
    <row r="935" ht="22.5" customHeight="1">
      <c r="A935" s="8"/>
      <c r="B935" s="9" t="str">
        <f t="shared" si="1"/>
        <v>Dec-1899</v>
      </c>
      <c r="C935" s="10"/>
      <c r="D935" s="11"/>
      <c r="E935" s="25"/>
      <c r="F935" s="21"/>
      <c r="G935" s="14"/>
      <c r="H935" s="15">
        <f t="shared" si="2"/>
        <v>0</v>
      </c>
      <c r="I935" s="16">
        <f t="shared" si="3"/>
        <v>23349.59</v>
      </c>
    </row>
    <row r="936" ht="22.5" customHeight="1">
      <c r="A936" s="8"/>
      <c r="B936" s="9" t="str">
        <f t="shared" si="1"/>
        <v>Dec-1899</v>
      </c>
      <c r="C936" s="10"/>
      <c r="D936" s="11"/>
      <c r="E936" s="25"/>
      <c r="F936" s="21"/>
      <c r="G936" s="14"/>
      <c r="H936" s="15">
        <f t="shared" si="2"/>
        <v>0</v>
      </c>
      <c r="I936" s="16">
        <f t="shared" si="3"/>
        <v>23349.59</v>
      </c>
    </row>
    <row r="937" ht="22.5" customHeight="1">
      <c r="A937" s="8"/>
      <c r="B937" s="9" t="str">
        <f t="shared" si="1"/>
        <v>Dec-1899</v>
      </c>
      <c r="C937" s="10"/>
      <c r="D937" s="11"/>
      <c r="E937" s="25"/>
      <c r="F937" s="21"/>
      <c r="G937" s="14"/>
      <c r="H937" s="15">
        <f t="shared" si="2"/>
        <v>0</v>
      </c>
      <c r="I937" s="16">
        <f t="shared" si="3"/>
        <v>23349.59</v>
      </c>
    </row>
    <row r="938" ht="22.5" customHeight="1">
      <c r="A938" s="8"/>
      <c r="B938" s="9" t="str">
        <f t="shared" si="1"/>
        <v>Dec-1899</v>
      </c>
      <c r="C938" s="10"/>
      <c r="D938" s="11"/>
      <c r="E938" s="25"/>
      <c r="F938" s="21"/>
      <c r="G938" s="14"/>
      <c r="H938" s="15">
        <f t="shared" si="2"/>
        <v>0</v>
      </c>
      <c r="I938" s="16">
        <f t="shared" si="3"/>
        <v>23349.59</v>
      </c>
    </row>
    <row r="939" ht="22.5" customHeight="1">
      <c r="A939" s="8"/>
      <c r="B939" s="9" t="str">
        <f t="shared" si="1"/>
        <v>Dec-1899</v>
      </c>
      <c r="C939" s="10"/>
      <c r="D939" s="11"/>
      <c r="E939" s="25"/>
      <c r="F939" s="21"/>
      <c r="G939" s="14"/>
      <c r="H939" s="15">
        <f t="shared" si="2"/>
        <v>0</v>
      </c>
      <c r="I939" s="16">
        <f t="shared" si="3"/>
        <v>23349.59</v>
      </c>
    </row>
    <row r="940" ht="22.5" customHeight="1">
      <c r="A940" s="8"/>
      <c r="B940" s="9" t="str">
        <f t="shared" si="1"/>
        <v>Dec-1899</v>
      </c>
      <c r="C940" s="10"/>
      <c r="D940" s="11"/>
      <c r="E940" s="25"/>
      <c r="F940" s="21"/>
      <c r="G940" s="14"/>
      <c r="H940" s="15">
        <f t="shared" si="2"/>
        <v>0</v>
      </c>
      <c r="I940" s="16">
        <f t="shared" si="3"/>
        <v>23349.59</v>
      </c>
    </row>
    <row r="941" ht="22.5" customHeight="1">
      <c r="A941" s="8"/>
      <c r="B941" s="9" t="str">
        <f t="shared" si="1"/>
        <v>Dec-1899</v>
      </c>
      <c r="C941" s="10"/>
      <c r="D941" s="11"/>
      <c r="E941" s="25"/>
      <c r="F941" s="21"/>
      <c r="G941" s="14"/>
      <c r="H941" s="15">
        <f t="shared" si="2"/>
        <v>0</v>
      </c>
      <c r="I941" s="16">
        <f t="shared" si="3"/>
        <v>23349.59</v>
      </c>
    </row>
    <row r="942" ht="22.5" customHeight="1">
      <c r="A942" s="8"/>
      <c r="B942" s="9" t="str">
        <f t="shared" si="1"/>
        <v>Dec-1899</v>
      </c>
      <c r="C942" s="10"/>
      <c r="D942" s="11"/>
      <c r="E942" s="25"/>
      <c r="F942" s="21"/>
      <c r="G942" s="14"/>
      <c r="H942" s="15">
        <f t="shared" si="2"/>
        <v>0</v>
      </c>
      <c r="I942" s="16">
        <f t="shared" si="3"/>
        <v>23349.59</v>
      </c>
    </row>
    <row r="943" ht="22.5" customHeight="1">
      <c r="A943" s="8"/>
      <c r="B943" s="9" t="str">
        <f t="shared" si="1"/>
        <v>Dec-1899</v>
      </c>
      <c r="C943" s="10"/>
      <c r="D943" s="11"/>
      <c r="E943" s="25"/>
      <c r="F943" s="21"/>
      <c r="G943" s="14"/>
      <c r="H943" s="15">
        <f t="shared" si="2"/>
        <v>0</v>
      </c>
      <c r="I943" s="16">
        <f t="shared" si="3"/>
        <v>23349.59</v>
      </c>
    </row>
    <row r="944" ht="22.5" customHeight="1">
      <c r="A944" s="8"/>
      <c r="B944" s="9" t="str">
        <f t="shared" si="1"/>
        <v>Dec-1899</v>
      </c>
      <c r="C944" s="10"/>
      <c r="D944" s="11"/>
      <c r="E944" s="25"/>
      <c r="F944" s="21"/>
      <c r="G944" s="14"/>
      <c r="H944" s="15">
        <f t="shared" si="2"/>
        <v>0</v>
      </c>
      <c r="I944" s="16">
        <f t="shared" si="3"/>
        <v>23349.59</v>
      </c>
    </row>
    <row r="945" ht="22.5" customHeight="1">
      <c r="A945" s="8"/>
      <c r="B945" s="9" t="str">
        <f t="shared" si="1"/>
        <v>Dec-1899</v>
      </c>
      <c r="C945" s="10"/>
      <c r="D945" s="11"/>
      <c r="E945" s="25"/>
      <c r="F945" s="21"/>
      <c r="G945" s="14"/>
      <c r="H945" s="15">
        <f t="shared" si="2"/>
        <v>0</v>
      </c>
      <c r="I945" s="16">
        <f t="shared" si="3"/>
        <v>23349.59</v>
      </c>
    </row>
    <row r="946" ht="22.5" customHeight="1">
      <c r="A946" s="8"/>
      <c r="B946" s="9" t="str">
        <f t="shared" si="1"/>
        <v>Dec-1899</v>
      </c>
      <c r="C946" s="10"/>
      <c r="D946" s="11"/>
      <c r="E946" s="25"/>
      <c r="F946" s="21"/>
      <c r="G946" s="14"/>
      <c r="H946" s="15">
        <f t="shared" si="2"/>
        <v>0</v>
      </c>
      <c r="I946" s="16">
        <f t="shared" si="3"/>
        <v>23349.59</v>
      </c>
    </row>
    <row r="947" ht="22.5" customHeight="1">
      <c r="A947" s="8"/>
      <c r="B947" s="9" t="str">
        <f t="shared" si="1"/>
        <v>Dec-1899</v>
      </c>
      <c r="C947" s="10"/>
      <c r="D947" s="11"/>
      <c r="E947" s="25"/>
      <c r="F947" s="21"/>
      <c r="G947" s="14"/>
      <c r="H947" s="15">
        <f t="shared" si="2"/>
        <v>0</v>
      </c>
      <c r="I947" s="16">
        <f t="shared" si="3"/>
        <v>23349.59</v>
      </c>
    </row>
    <row r="948" ht="22.5" customHeight="1">
      <c r="A948" s="8"/>
      <c r="B948" s="9" t="str">
        <f t="shared" si="1"/>
        <v>Dec-1899</v>
      </c>
      <c r="C948" s="10"/>
      <c r="D948" s="11"/>
      <c r="E948" s="25"/>
      <c r="F948" s="21"/>
      <c r="G948" s="14"/>
      <c r="H948" s="15">
        <f t="shared" si="2"/>
        <v>0</v>
      </c>
      <c r="I948" s="16">
        <f t="shared" si="3"/>
        <v>23349.59</v>
      </c>
    </row>
    <row r="949" ht="22.5" customHeight="1">
      <c r="A949" s="8"/>
      <c r="B949" s="9" t="str">
        <f t="shared" si="1"/>
        <v>Dec-1899</v>
      </c>
      <c r="C949" s="10"/>
      <c r="D949" s="11"/>
      <c r="E949" s="25"/>
      <c r="F949" s="21"/>
      <c r="G949" s="14"/>
      <c r="H949" s="15">
        <f t="shared" si="2"/>
        <v>0</v>
      </c>
      <c r="I949" s="16">
        <f t="shared" si="3"/>
        <v>23349.59</v>
      </c>
    </row>
    <row r="950" ht="22.5" customHeight="1">
      <c r="A950" s="8"/>
      <c r="B950" s="9" t="str">
        <f t="shared" si="1"/>
        <v>Dec-1899</v>
      </c>
      <c r="C950" s="10"/>
      <c r="D950" s="11"/>
      <c r="E950" s="25"/>
      <c r="F950" s="21"/>
      <c r="G950" s="14"/>
      <c r="H950" s="15">
        <f t="shared" si="2"/>
        <v>0</v>
      </c>
      <c r="I950" s="16">
        <f t="shared" si="3"/>
        <v>23349.59</v>
      </c>
    </row>
    <row r="951" ht="22.5" customHeight="1">
      <c r="A951" s="8"/>
      <c r="B951" s="9" t="str">
        <f t="shared" si="1"/>
        <v>Dec-1899</v>
      </c>
      <c r="C951" s="10"/>
      <c r="D951" s="11"/>
      <c r="E951" s="25"/>
      <c r="F951" s="21"/>
      <c r="G951" s="14"/>
      <c r="H951" s="15">
        <f t="shared" si="2"/>
        <v>0</v>
      </c>
      <c r="I951" s="16">
        <f t="shared" si="3"/>
        <v>23349.59</v>
      </c>
    </row>
    <row r="952" ht="22.5" customHeight="1">
      <c r="A952" s="8"/>
      <c r="B952" s="9" t="str">
        <f t="shared" si="1"/>
        <v>Dec-1899</v>
      </c>
      <c r="C952" s="10"/>
      <c r="D952" s="11"/>
      <c r="E952" s="25"/>
      <c r="F952" s="21"/>
      <c r="G952" s="14"/>
      <c r="H952" s="15">
        <f t="shared" si="2"/>
        <v>0</v>
      </c>
      <c r="I952" s="16">
        <f t="shared" si="3"/>
        <v>23349.59</v>
      </c>
    </row>
    <row r="953" ht="22.5" customHeight="1">
      <c r="A953" s="8"/>
      <c r="B953" s="9" t="str">
        <f t="shared" si="1"/>
        <v>Dec-1899</v>
      </c>
      <c r="C953" s="10"/>
      <c r="D953" s="11"/>
      <c r="E953" s="25"/>
      <c r="F953" s="21"/>
      <c r="G953" s="14"/>
      <c r="H953" s="15">
        <f t="shared" si="2"/>
        <v>0</v>
      </c>
      <c r="I953" s="16">
        <f t="shared" si="3"/>
        <v>23349.59</v>
      </c>
    </row>
    <row r="954" ht="22.5" customHeight="1">
      <c r="A954" s="8"/>
      <c r="B954" s="9" t="str">
        <f t="shared" si="1"/>
        <v>Dec-1899</v>
      </c>
      <c r="C954" s="10"/>
      <c r="D954" s="11"/>
      <c r="E954" s="25"/>
      <c r="F954" s="21"/>
      <c r="G954" s="14"/>
      <c r="H954" s="15">
        <f t="shared" si="2"/>
        <v>0</v>
      </c>
      <c r="I954" s="16">
        <f t="shared" si="3"/>
        <v>23349.59</v>
      </c>
    </row>
    <row r="955" ht="22.5" customHeight="1">
      <c r="A955" s="8"/>
      <c r="B955" s="9" t="str">
        <f t="shared" si="1"/>
        <v>Dec-1899</v>
      </c>
      <c r="C955" s="10"/>
      <c r="D955" s="11"/>
      <c r="E955" s="25"/>
      <c r="F955" s="21"/>
      <c r="G955" s="14"/>
      <c r="H955" s="15">
        <f t="shared" si="2"/>
        <v>0</v>
      </c>
      <c r="I955" s="16">
        <f t="shared" si="3"/>
        <v>23349.59</v>
      </c>
    </row>
    <row r="956" ht="22.5" customHeight="1">
      <c r="A956" s="8"/>
      <c r="B956" s="9" t="str">
        <f t="shared" si="1"/>
        <v>Dec-1899</v>
      </c>
      <c r="C956" s="10"/>
      <c r="D956" s="11"/>
      <c r="E956" s="25"/>
      <c r="F956" s="21"/>
      <c r="G956" s="14"/>
      <c r="H956" s="15">
        <f t="shared" si="2"/>
        <v>0</v>
      </c>
      <c r="I956" s="16">
        <f t="shared" si="3"/>
        <v>23349.59</v>
      </c>
    </row>
    <row r="957" ht="22.5" customHeight="1">
      <c r="A957" s="8"/>
      <c r="B957" s="9" t="str">
        <f t="shared" si="1"/>
        <v>Dec-1899</v>
      </c>
      <c r="C957" s="10"/>
      <c r="D957" s="11"/>
      <c r="E957" s="25"/>
      <c r="F957" s="21"/>
      <c r="G957" s="14"/>
      <c r="H957" s="15">
        <f t="shared" si="2"/>
        <v>0</v>
      </c>
      <c r="I957" s="16">
        <f t="shared" si="3"/>
        <v>23349.59</v>
      </c>
    </row>
    <row r="958" ht="22.5" customHeight="1">
      <c r="A958" s="8"/>
      <c r="B958" s="9" t="str">
        <f t="shared" si="1"/>
        <v>Dec-1899</v>
      </c>
      <c r="C958" s="10"/>
      <c r="D958" s="11"/>
      <c r="E958" s="25"/>
      <c r="F958" s="21"/>
      <c r="G958" s="14"/>
      <c r="H958" s="15">
        <f t="shared" si="2"/>
        <v>0</v>
      </c>
      <c r="I958" s="16">
        <f t="shared" si="3"/>
        <v>23349.59</v>
      </c>
    </row>
    <row r="959" ht="22.5" customHeight="1">
      <c r="A959" s="8"/>
      <c r="B959" s="9" t="str">
        <f t="shared" si="1"/>
        <v>Dec-1899</v>
      </c>
      <c r="C959" s="10"/>
      <c r="D959" s="11"/>
      <c r="E959" s="25"/>
      <c r="F959" s="21"/>
      <c r="G959" s="14"/>
      <c r="H959" s="15">
        <f t="shared" si="2"/>
        <v>0</v>
      </c>
      <c r="I959" s="16">
        <f t="shared" si="3"/>
        <v>23349.59</v>
      </c>
    </row>
    <row r="960" ht="22.5" customHeight="1">
      <c r="A960" s="8"/>
      <c r="B960" s="9" t="str">
        <f t="shared" si="1"/>
        <v>Dec-1899</v>
      </c>
      <c r="C960" s="10"/>
      <c r="D960" s="11"/>
      <c r="E960" s="25"/>
      <c r="F960" s="21"/>
      <c r="G960" s="14"/>
      <c r="H960" s="15">
        <f t="shared" si="2"/>
        <v>0</v>
      </c>
      <c r="I960" s="16">
        <f t="shared" si="3"/>
        <v>23349.59</v>
      </c>
    </row>
    <row r="961" ht="22.5" customHeight="1">
      <c r="A961" s="8"/>
      <c r="B961" s="9" t="str">
        <f t="shared" si="1"/>
        <v>Dec-1899</v>
      </c>
      <c r="C961" s="10"/>
      <c r="D961" s="11"/>
      <c r="E961" s="25"/>
      <c r="F961" s="21"/>
      <c r="G961" s="14"/>
      <c r="H961" s="15">
        <f t="shared" si="2"/>
        <v>0</v>
      </c>
      <c r="I961" s="16">
        <f t="shared" si="3"/>
        <v>23349.59</v>
      </c>
    </row>
    <row r="962" ht="22.5" customHeight="1">
      <c r="A962" s="8"/>
      <c r="B962" s="9" t="str">
        <f t="shared" si="1"/>
        <v>Dec-1899</v>
      </c>
      <c r="C962" s="10"/>
      <c r="D962" s="11"/>
      <c r="E962" s="25"/>
      <c r="F962" s="21"/>
      <c r="G962" s="14"/>
      <c r="H962" s="15">
        <f t="shared" si="2"/>
        <v>0</v>
      </c>
      <c r="I962" s="16">
        <f t="shared" si="3"/>
        <v>23349.59</v>
      </c>
    </row>
    <row r="963" ht="22.5" customHeight="1">
      <c r="A963" s="8"/>
      <c r="B963" s="9" t="str">
        <f t="shared" si="1"/>
        <v>Dec-1899</v>
      </c>
      <c r="C963" s="10"/>
      <c r="D963" s="11"/>
      <c r="E963" s="25"/>
      <c r="F963" s="21"/>
      <c r="G963" s="14"/>
      <c r="H963" s="15">
        <f t="shared" si="2"/>
        <v>0</v>
      </c>
      <c r="I963" s="16">
        <f t="shared" si="3"/>
        <v>23349.59</v>
      </c>
    </row>
    <row r="964" ht="22.5" customHeight="1">
      <c r="A964" s="8"/>
      <c r="B964" s="9" t="str">
        <f t="shared" si="1"/>
        <v>Dec-1899</v>
      </c>
      <c r="C964" s="10"/>
      <c r="D964" s="11"/>
      <c r="E964" s="25"/>
      <c r="F964" s="21"/>
      <c r="G964" s="14"/>
      <c r="H964" s="15">
        <f t="shared" si="2"/>
        <v>0</v>
      </c>
      <c r="I964" s="16">
        <f t="shared" si="3"/>
        <v>23349.59</v>
      </c>
    </row>
    <row r="965" ht="22.5" customHeight="1">
      <c r="A965" s="8"/>
      <c r="B965" s="9" t="str">
        <f t="shared" si="1"/>
        <v>Dec-1899</v>
      </c>
      <c r="C965" s="10"/>
      <c r="D965" s="11"/>
      <c r="E965" s="25"/>
      <c r="F965" s="21"/>
      <c r="G965" s="14"/>
      <c r="H965" s="15">
        <f t="shared" si="2"/>
        <v>0</v>
      </c>
      <c r="I965" s="16">
        <f t="shared" si="3"/>
        <v>23349.59</v>
      </c>
    </row>
    <row r="966" ht="22.5" customHeight="1">
      <c r="A966" s="8"/>
      <c r="B966" s="9" t="str">
        <f t="shared" si="1"/>
        <v>Dec-1899</v>
      </c>
      <c r="C966" s="10"/>
      <c r="D966" s="11"/>
      <c r="E966" s="25"/>
      <c r="F966" s="21"/>
      <c r="G966" s="14"/>
      <c r="H966" s="15">
        <f t="shared" si="2"/>
        <v>0</v>
      </c>
      <c r="I966" s="16">
        <f t="shared" si="3"/>
        <v>23349.59</v>
      </c>
    </row>
    <row r="967" ht="22.5" customHeight="1">
      <c r="A967" s="8"/>
      <c r="B967" s="9" t="str">
        <f t="shared" si="1"/>
        <v>Dec-1899</v>
      </c>
      <c r="C967" s="10"/>
      <c r="D967" s="11"/>
      <c r="E967" s="25"/>
      <c r="F967" s="21"/>
      <c r="G967" s="14"/>
      <c r="H967" s="15">
        <f t="shared" si="2"/>
        <v>0</v>
      </c>
      <c r="I967" s="16">
        <f t="shared" si="3"/>
        <v>23349.59</v>
      </c>
    </row>
    <row r="968" ht="22.5" customHeight="1">
      <c r="A968" s="8"/>
      <c r="B968" s="9" t="str">
        <f t="shared" si="1"/>
        <v>Dec-1899</v>
      </c>
      <c r="C968" s="10"/>
      <c r="D968" s="11"/>
      <c r="E968" s="25"/>
      <c r="F968" s="21"/>
      <c r="G968" s="14"/>
      <c r="H968" s="15">
        <f t="shared" si="2"/>
        <v>0</v>
      </c>
      <c r="I968" s="16">
        <f t="shared" si="3"/>
        <v>23349.59</v>
      </c>
    </row>
    <row r="969" ht="22.5" customHeight="1">
      <c r="A969" s="8"/>
      <c r="B969" s="9" t="str">
        <f t="shared" si="1"/>
        <v>Dec-1899</v>
      </c>
      <c r="C969" s="10"/>
      <c r="D969" s="11"/>
      <c r="E969" s="25"/>
      <c r="F969" s="21"/>
      <c r="G969" s="14"/>
      <c r="H969" s="15">
        <f t="shared" si="2"/>
        <v>0</v>
      </c>
      <c r="I969" s="16">
        <f t="shared" si="3"/>
        <v>23349.59</v>
      </c>
    </row>
    <row r="970" ht="22.5" customHeight="1">
      <c r="A970" s="8"/>
      <c r="B970" s="9" t="str">
        <f t="shared" si="1"/>
        <v>Dec-1899</v>
      </c>
      <c r="C970" s="10"/>
      <c r="D970" s="11"/>
      <c r="E970" s="25"/>
      <c r="F970" s="21"/>
      <c r="G970" s="14"/>
      <c r="H970" s="15">
        <f t="shared" si="2"/>
        <v>0</v>
      </c>
      <c r="I970" s="16">
        <f t="shared" si="3"/>
        <v>23349.59</v>
      </c>
    </row>
    <row r="971" ht="22.5" customHeight="1">
      <c r="A971" s="8"/>
      <c r="B971" s="9" t="str">
        <f t="shared" si="1"/>
        <v>Dec-1899</v>
      </c>
      <c r="C971" s="10"/>
      <c r="D971" s="11"/>
      <c r="E971" s="25"/>
      <c r="F971" s="21"/>
      <c r="G971" s="14"/>
      <c r="H971" s="15">
        <f t="shared" si="2"/>
        <v>0</v>
      </c>
      <c r="I971" s="16">
        <f t="shared" si="3"/>
        <v>23349.59</v>
      </c>
    </row>
    <row r="972" ht="22.5" customHeight="1">
      <c r="A972" s="8"/>
      <c r="B972" s="9" t="str">
        <f t="shared" si="1"/>
        <v>Dec-1899</v>
      </c>
      <c r="C972" s="10"/>
      <c r="D972" s="11"/>
      <c r="E972" s="25"/>
      <c r="F972" s="21"/>
      <c r="G972" s="14"/>
      <c r="H972" s="15">
        <f t="shared" si="2"/>
        <v>0</v>
      </c>
      <c r="I972" s="16">
        <f t="shared" si="3"/>
        <v>23349.59</v>
      </c>
    </row>
    <row r="973" ht="22.5" customHeight="1">
      <c r="A973" s="8"/>
      <c r="B973" s="9" t="str">
        <f t="shared" si="1"/>
        <v>Dec-1899</v>
      </c>
      <c r="C973" s="10"/>
      <c r="D973" s="11"/>
      <c r="E973" s="25"/>
      <c r="F973" s="21"/>
      <c r="G973" s="14"/>
      <c r="H973" s="15">
        <f t="shared" si="2"/>
        <v>0</v>
      </c>
      <c r="I973" s="16">
        <f t="shared" si="3"/>
        <v>23349.59</v>
      </c>
    </row>
    <row r="974" ht="22.5" customHeight="1">
      <c r="A974" s="8"/>
      <c r="B974" s="9" t="str">
        <f t="shared" si="1"/>
        <v>Dec-1899</v>
      </c>
      <c r="C974" s="10"/>
      <c r="D974" s="11"/>
      <c r="E974" s="25"/>
      <c r="F974" s="21"/>
      <c r="G974" s="14"/>
      <c r="H974" s="15">
        <f t="shared" si="2"/>
        <v>0</v>
      </c>
      <c r="I974" s="16">
        <f t="shared" si="3"/>
        <v>23349.59</v>
      </c>
    </row>
    <row r="975" ht="22.5" customHeight="1">
      <c r="A975" s="8"/>
      <c r="B975" s="9" t="str">
        <f t="shared" si="1"/>
        <v>Dec-1899</v>
      </c>
      <c r="C975" s="10"/>
      <c r="D975" s="11"/>
      <c r="E975" s="25"/>
      <c r="F975" s="21"/>
      <c r="G975" s="14"/>
      <c r="H975" s="15">
        <f t="shared" si="2"/>
        <v>0</v>
      </c>
      <c r="I975" s="16">
        <f t="shared" si="3"/>
        <v>23349.59</v>
      </c>
    </row>
    <row r="976" ht="22.5" customHeight="1">
      <c r="A976" s="8"/>
      <c r="B976" s="9" t="str">
        <f t="shared" si="1"/>
        <v>Dec-1899</v>
      </c>
      <c r="C976" s="10"/>
      <c r="D976" s="11"/>
      <c r="E976" s="25"/>
      <c r="F976" s="21"/>
      <c r="G976" s="14"/>
      <c r="H976" s="15">
        <f t="shared" si="2"/>
        <v>0</v>
      </c>
      <c r="I976" s="16">
        <f t="shared" si="3"/>
        <v>23349.59</v>
      </c>
    </row>
    <row r="977" ht="22.5" customHeight="1">
      <c r="A977" s="8"/>
      <c r="B977" s="9" t="str">
        <f t="shared" si="1"/>
        <v>Dec-1899</v>
      </c>
      <c r="C977" s="10"/>
      <c r="D977" s="11"/>
      <c r="E977" s="25"/>
      <c r="F977" s="21"/>
      <c r="G977" s="14"/>
      <c r="H977" s="15">
        <f t="shared" si="2"/>
        <v>0</v>
      </c>
      <c r="I977" s="16">
        <f t="shared" si="3"/>
        <v>23349.59</v>
      </c>
    </row>
    <row r="978" ht="22.5" customHeight="1">
      <c r="A978" s="8"/>
      <c r="B978" s="9" t="str">
        <f t="shared" si="1"/>
        <v>Dec-1899</v>
      </c>
      <c r="C978" s="10"/>
      <c r="D978" s="11"/>
      <c r="E978" s="25"/>
      <c r="F978" s="21"/>
      <c r="G978" s="14"/>
      <c r="H978" s="15">
        <f t="shared" si="2"/>
        <v>0</v>
      </c>
      <c r="I978" s="16">
        <f t="shared" si="3"/>
        <v>23349.59</v>
      </c>
    </row>
    <row r="979" ht="22.5" customHeight="1">
      <c r="A979" s="8"/>
      <c r="B979" s="9" t="str">
        <f t="shared" si="1"/>
        <v>Dec-1899</v>
      </c>
      <c r="C979" s="10"/>
      <c r="D979" s="11"/>
      <c r="E979" s="25"/>
      <c r="F979" s="21"/>
      <c r="G979" s="14"/>
      <c r="H979" s="15">
        <f t="shared" si="2"/>
        <v>0</v>
      </c>
      <c r="I979" s="16">
        <f t="shared" si="3"/>
        <v>23349.59</v>
      </c>
    </row>
    <row r="980" ht="22.5" customHeight="1">
      <c r="A980" s="8"/>
      <c r="B980" s="9" t="str">
        <f t="shared" si="1"/>
        <v>Dec-1899</v>
      </c>
      <c r="C980" s="10"/>
      <c r="D980" s="11"/>
      <c r="E980" s="25"/>
      <c r="F980" s="21"/>
      <c r="G980" s="14"/>
      <c r="H980" s="15">
        <f t="shared" si="2"/>
        <v>0</v>
      </c>
      <c r="I980" s="16">
        <f t="shared" si="3"/>
        <v>23349.59</v>
      </c>
    </row>
    <row r="981" ht="22.5" customHeight="1">
      <c r="A981" s="8"/>
      <c r="B981" s="9" t="str">
        <f t="shared" si="1"/>
        <v>Dec-1899</v>
      </c>
      <c r="C981" s="10"/>
      <c r="D981" s="11"/>
      <c r="E981" s="25"/>
      <c r="F981" s="21"/>
      <c r="G981" s="14"/>
      <c r="H981" s="15">
        <f t="shared" si="2"/>
        <v>0</v>
      </c>
      <c r="I981" s="16">
        <f t="shared" si="3"/>
        <v>23349.59</v>
      </c>
    </row>
    <row r="982" ht="22.5" customHeight="1">
      <c r="A982" s="8"/>
      <c r="B982" s="9" t="str">
        <f t="shared" si="1"/>
        <v>Dec-1899</v>
      </c>
      <c r="C982" s="10"/>
      <c r="D982" s="11"/>
      <c r="E982" s="25"/>
      <c r="F982" s="21"/>
      <c r="G982" s="14"/>
      <c r="H982" s="15">
        <f t="shared" si="2"/>
        <v>0</v>
      </c>
      <c r="I982" s="16">
        <f t="shared" si="3"/>
        <v>23349.59</v>
      </c>
    </row>
    <row r="983" ht="22.5" customHeight="1">
      <c r="A983" s="8"/>
      <c r="B983" s="9" t="str">
        <f t="shared" si="1"/>
        <v>Dec-1899</v>
      </c>
      <c r="C983" s="10"/>
      <c r="D983" s="11"/>
      <c r="E983" s="25"/>
      <c r="F983" s="21"/>
      <c r="G983" s="14"/>
      <c r="H983" s="15">
        <f t="shared" si="2"/>
        <v>0</v>
      </c>
      <c r="I983" s="16">
        <f t="shared" si="3"/>
        <v>23349.59</v>
      </c>
    </row>
    <row r="984" ht="22.5" customHeight="1">
      <c r="A984" s="8"/>
      <c r="B984" s="9" t="str">
        <f t="shared" si="1"/>
        <v>Dec-1899</v>
      </c>
      <c r="C984" s="10"/>
      <c r="D984" s="11"/>
      <c r="E984" s="25"/>
      <c r="F984" s="21"/>
      <c r="G984" s="14"/>
      <c r="H984" s="15">
        <f t="shared" si="2"/>
        <v>0</v>
      </c>
      <c r="I984" s="16">
        <f t="shared" si="3"/>
        <v>23349.59</v>
      </c>
    </row>
    <row r="985" ht="22.5" customHeight="1">
      <c r="A985" s="8"/>
      <c r="B985" s="9" t="str">
        <f t="shared" si="1"/>
        <v>Dec-1899</v>
      </c>
      <c r="C985" s="10"/>
      <c r="D985" s="11"/>
      <c r="E985" s="25"/>
      <c r="F985" s="21"/>
      <c r="G985" s="14"/>
      <c r="H985" s="15">
        <f t="shared" si="2"/>
        <v>0</v>
      </c>
      <c r="I985" s="16">
        <f t="shared" si="3"/>
        <v>23349.59</v>
      </c>
    </row>
    <row r="986" ht="22.5" customHeight="1">
      <c r="A986" s="8"/>
      <c r="B986" s="9" t="str">
        <f t="shared" si="1"/>
        <v>Dec-1899</v>
      </c>
      <c r="C986" s="10"/>
      <c r="D986" s="11"/>
      <c r="E986" s="25"/>
      <c r="F986" s="21"/>
      <c r="G986" s="14"/>
      <c r="H986" s="15">
        <f t="shared" si="2"/>
        <v>0</v>
      </c>
      <c r="I986" s="16">
        <f t="shared" si="3"/>
        <v>23349.59</v>
      </c>
    </row>
    <row r="987" ht="22.5" customHeight="1">
      <c r="A987" s="8"/>
      <c r="B987" s="9" t="str">
        <f t="shared" si="1"/>
        <v>Dec-1899</v>
      </c>
      <c r="C987" s="10"/>
      <c r="D987" s="11"/>
      <c r="E987" s="25"/>
      <c r="F987" s="21"/>
      <c r="G987" s="14"/>
      <c r="H987" s="15">
        <f t="shared" si="2"/>
        <v>0</v>
      </c>
      <c r="I987" s="16">
        <f t="shared" si="3"/>
        <v>23349.59</v>
      </c>
    </row>
    <row r="988" ht="22.5" customHeight="1">
      <c r="A988" s="8"/>
      <c r="B988" s="9" t="str">
        <f t="shared" si="1"/>
        <v>Dec-1899</v>
      </c>
      <c r="C988" s="10"/>
      <c r="D988" s="11"/>
      <c r="E988" s="25"/>
      <c r="F988" s="21"/>
      <c r="G988" s="14"/>
      <c r="H988" s="15">
        <f t="shared" si="2"/>
        <v>0</v>
      </c>
      <c r="I988" s="16">
        <f t="shared" si="3"/>
        <v>23349.59</v>
      </c>
    </row>
    <row r="989" ht="22.5" customHeight="1">
      <c r="A989" s="8"/>
      <c r="B989" s="9" t="str">
        <f t="shared" si="1"/>
        <v>Dec-1899</v>
      </c>
      <c r="C989" s="10"/>
      <c r="D989" s="11"/>
      <c r="E989" s="25"/>
      <c r="F989" s="21"/>
      <c r="G989" s="14"/>
      <c r="H989" s="15">
        <f t="shared" si="2"/>
        <v>0</v>
      </c>
      <c r="I989" s="16">
        <f t="shared" si="3"/>
        <v>23349.59</v>
      </c>
    </row>
    <row r="990" ht="22.5" customHeight="1">
      <c r="A990" s="8"/>
      <c r="B990" s="9" t="str">
        <f t="shared" si="1"/>
        <v>Dec-1899</v>
      </c>
      <c r="C990" s="10"/>
      <c r="D990" s="11"/>
      <c r="E990" s="25"/>
      <c r="F990" s="21"/>
      <c r="G990" s="14"/>
      <c r="H990" s="15">
        <f t="shared" si="2"/>
        <v>0</v>
      </c>
      <c r="I990" s="16">
        <f t="shared" si="3"/>
        <v>23349.59</v>
      </c>
    </row>
    <row r="991" ht="22.5" customHeight="1">
      <c r="A991" s="8"/>
      <c r="B991" s="9" t="str">
        <f t="shared" si="1"/>
        <v>Dec-1899</v>
      </c>
      <c r="C991" s="10"/>
      <c r="D991" s="11"/>
      <c r="E991" s="25"/>
      <c r="F991" s="21"/>
      <c r="G991" s="14"/>
      <c r="H991" s="15">
        <f t="shared" si="2"/>
        <v>0</v>
      </c>
      <c r="I991" s="16">
        <f t="shared" si="3"/>
        <v>23349.59</v>
      </c>
    </row>
    <row r="992" ht="22.5" customHeight="1">
      <c r="A992" s="8"/>
      <c r="B992" s="9" t="str">
        <f t="shared" si="1"/>
        <v>Dec-1899</v>
      </c>
      <c r="C992" s="10"/>
      <c r="D992" s="11"/>
      <c r="E992" s="25"/>
      <c r="F992" s="21"/>
      <c r="G992" s="14"/>
      <c r="H992" s="15">
        <f t="shared" si="2"/>
        <v>0</v>
      </c>
      <c r="I992" s="16">
        <f t="shared" si="3"/>
        <v>23349.59</v>
      </c>
    </row>
    <row r="993" ht="22.5" customHeight="1">
      <c r="A993" s="8"/>
      <c r="B993" s="9" t="str">
        <f t="shared" si="1"/>
        <v>Dec-1899</v>
      </c>
      <c r="C993" s="10"/>
      <c r="D993" s="11"/>
      <c r="E993" s="25"/>
      <c r="F993" s="21"/>
      <c r="G993" s="14"/>
      <c r="H993" s="15">
        <f t="shared" si="2"/>
        <v>0</v>
      </c>
      <c r="I993" s="16">
        <f t="shared" si="3"/>
        <v>23349.59</v>
      </c>
    </row>
    <row r="994" ht="22.5" customHeight="1">
      <c r="A994" s="8"/>
      <c r="B994" s="9" t="str">
        <f t="shared" si="1"/>
        <v>Dec-1899</v>
      </c>
      <c r="C994" s="10"/>
      <c r="D994" s="11"/>
      <c r="E994" s="25"/>
      <c r="F994" s="21"/>
      <c r="G994" s="14"/>
      <c r="H994" s="15">
        <f t="shared" si="2"/>
        <v>0</v>
      </c>
      <c r="I994" s="16">
        <f t="shared" si="3"/>
        <v>23349.59</v>
      </c>
    </row>
    <row r="995" ht="22.5" customHeight="1">
      <c r="A995" s="8"/>
      <c r="B995" s="9" t="str">
        <f t="shared" si="1"/>
        <v>Dec-1899</v>
      </c>
      <c r="C995" s="10"/>
      <c r="D995" s="11"/>
      <c r="E995" s="25"/>
      <c r="F995" s="21"/>
      <c r="G995" s="14"/>
      <c r="H995" s="15">
        <f t="shared" si="2"/>
        <v>0</v>
      </c>
      <c r="I995" s="16">
        <f t="shared" si="3"/>
        <v>23349.59</v>
      </c>
    </row>
    <row r="996" ht="22.5" customHeight="1">
      <c r="A996" s="8"/>
      <c r="B996" s="9" t="str">
        <f t="shared" si="1"/>
        <v>Dec-1899</v>
      </c>
      <c r="C996" s="10"/>
      <c r="D996" s="11"/>
      <c r="E996" s="25"/>
      <c r="F996" s="21"/>
      <c r="G996" s="14"/>
      <c r="H996" s="15">
        <f t="shared" si="2"/>
        <v>0</v>
      </c>
      <c r="I996" s="16">
        <f t="shared" si="3"/>
        <v>23349.59</v>
      </c>
    </row>
    <row r="997" ht="22.5" customHeight="1">
      <c r="A997" s="8"/>
      <c r="B997" s="9" t="str">
        <f t="shared" si="1"/>
        <v>Dec-1899</v>
      </c>
      <c r="C997" s="10"/>
      <c r="D997" s="11"/>
      <c r="E997" s="25"/>
      <c r="F997" s="21"/>
      <c r="G997" s="14"/>
      <c r="H997" s="15">
        <f t="shared" si="2"/>
        <v>0</v>
      </c>
      <c r="I997" s="16">
        <f t="shared" si="3"/>
        <v>23349.59</v>
      </c>
    </row>
    <row r="998" ht="22.5" customHeight="1">
      <c r="A998" s="8"/>
      <c r="B998" s="9" t="str">
        <f t="shared" si="1"/>
        <v>Dec-1899</v>
      </c>
      <c r="C998" s="10"/>
      <c r="D998" s="11"/>
      <c r="E998" s="25"/>
      <c r="F998" s="21"/>
      <c r="G998" s="14"/>
      <c r="H998" s="15">
        <f t="shared" si="2"/>
        <v>0</v>
      </c>
      <c r="I998" s="16">
        <f t="shared" si="3"/>
        <v>23349.59</v>
      </c>
    </row>
    <row r="999" ht="22.5" customHeight="1">
      <c r="A999" s="8"/>
      <c r="B999" s="9" t="str">
        <f t="shared" si="1"/>
        <v>Dec-1899</v>
      </c>
      <c r="C999" s="10"/>
      <c r="D999" s="11"/>
      <c r="E999" s="25"/>
      <c r="F999" s="21"/>
      <c r="G999" s="14"/>
      <c r="H999" s="15">
        <f t="shared" si="2"/>
        <v>0</v>
      </c>
      <c r="I999" s="16">
        <f t="shared" si="3"/>
        <v>23349.59</v>
      </c>
    </row>
    <row r="1000" ht="22.5" customHeight="1">
      <c r="A1000" s="8"/>
      <c r="B1000" s="9" t="str">
        <f t="shared" si="1"/>
        <v>Dec-1899</v>
      </c>
      <c r="C1000" s="10"/>
      <c r="D1000" s="11"/>
      <c r="E1000" s="25"/>
      <c r="F1000" s="21"/>
      <c r="G1000" s="14"/>
      <c r="H1000" s="15">
        <f t="shared" si="2"/>
        <v>0</v>
      </c>
      <c r="I1000" s="16">
        <f t="shared" si="3"/>
        <v>23349.59</v>
      </c>
    </row>
    <row r="1001" ht="22.5" customHeight="1">
      <c r="A1001" s="8"/>
      <c r="B1001" s="9" t="str">
        <f t="shared" si="1"/>
        <v>Dec-1899</v>
      </c>
      <c r="C1001" s="10"/>
      <c r="D1001" s="11"/>
      <c r="E1001" s="25"/>
      <c r="F1001" s="21"/>
      <c r="G1001" s="14"/>
      <c r="H1001" s="15">
        <f t="shared" si="2"/>
        <v>0</v>
      </c>
      <c r="I1001" s="16">
        <f t="shared" si="3"/>
        <v>23349.59</v>
      </c>
    </row>
    <row r="1002" ht="22.5" customHeight="1">
      <c r="A1002" s="8"/>
      <c r="B1002" s="9" t="str">
        <f t="shared" si="1"/>
        <v>Dec-1899</v>
      </c>
      <c r="C1002" s="10"/>
      <c r="D1002" s="11"/>
      <c r="E1002" s="25"/>
      <c r="F1002" s="21"/>
      <c r="G1002" s="14"/>
      <c r="H1002" s="15">
        <f t="shared" si="2"/>
        <v>0</v>
      </c>
      <c r="I1002" s="16">
        <f t="shared" si="3"/>
        <v>23349.59</v>
      </c>
    </row>
    <row r="1003" ht="22.5" customHeight="1">
      <c r="A1003" s="8"/>
      <c r="B1003" s="9" t="str">
        <f t="shared" si="1"/>
        <v>Dec-1899</v>
      </c>
      <c r="C1003" s="10"/>
      <c r="D1003" s="11"/>
      <c r="E1003" s="25"/>
      <c r="F1003" s="21"/>
      <c r="G1003" s="14"/>
      <c r="H1003" s="15">
        <f t="shared" si="2"/>
        <v>0</v>
      </c>
      <c r="I1003" s="16">
        <f t="shared" si="3"/>
        <v>23349.59</v>
      </c>
    </row>
    <row r="1004" ht="22.5" customHeight="1">
      <c r="A1004" s="8"/>
      <c r="B1004" s="9" t="str">
        <f t="shared" si="1"/>
        <v>Dec-1899</v>
      </c>
      <c r="C1004" s="10"/>
      <c r="D1004" s="11"/>
      <c r="E1004" s="25"/>
      <c r="F1004" s="21"/>
      <c r="G1004" s="14"/>
      <c r="H1004" s="15">
        <f t="shared" si="2"/>
        <v>0</v>
      </c>
      <c r="I1004" s="16">
        <f t="shared" si="3"/>
        <v>23349.59</v>
      </c>
    </row>
    <row r="1005" ht="22.5" customHeight="1">
      <c r="A1005" s="8"/>
      <c r="B1005" s="9" t="str">
        <f t="shared" si="1"/>
        <v>Dec-1899</v>
      </c>
      <c r="C1005" s="10"/>
      <c r="D1005" s="11"/>
      <c r="E1005" s="25"/>
      <c r="F1005" s="21"/>
      <c r="G1005" s="14"/>
      <c r="H1005" s="15">
        <f t="shared" si="2"/>
        <v>0</v>
      </c>
      <c r="I1005" s="16">
        <f t="shared" si="3"/>
        <v>23349.59</v>
      </c>
    </row>
    <row r="1006" ht="22.5" customHeight="1">
      <c r="A1006" s="8"/>
      <c r="B1006" s="9" t="str">
        <f t="shared" si="1"/>
        <v>Dec-1899</v>
      </c>
      <c r="C1006" s="10"/>
      <c r="D1006" s="11"/>
      <c r="E1006" s="25"/>
      <c r="F1006" s="21"/>
      <c r="G1006" s="14"/>
      <c r="H1006" s="15">
        <f t="shared" si="2"/>
        <v>0</v>
      </c>
      <c r="I1006" s="16">
        <f t="shared" si="3"/>
        <v>23349.59</v>
      </c>
    </row>
    <row r="1007" ht="22.5" customHeight="1">
      <c r="A1007" s="8"/>
      <c r="B1007" s="9" t="str">
        <f t="shared" si="1"/>
        <v>Dec-1899</v>
      </c>
      <c r="C1007" s="10"/>
      <c r="D1007" s="11"/>
      <c r="E1007" s="25"/>
      <c r="F1007" s="21"/>
      <c r="G1007" s="14"/>
      <c r="H1007" s="15">
        <f t="shared" si="2"/>
        <v>0</v>
      </c>
      <c r="I1007" s="16">
        <f t="shared" si="3"/>
        <v>23349.59</v>
      </c>
    </row>
    <row r="1008" ht="22.5" customHeight="1">
      <c r="A1008" s="8"/>
      <c r="B1008" s="9" t="str">
        <f t="shared" si="1"/>
        <v>Dec-1899</v>
      </c>
      <c r="C1008" s="10"/>
      <c r="D1008" s="11"/>
      <c r="E1008" s="25"/>
      <c r="F1008" s="21"/>
      <c r="G1008" s="14"/>
      <c r="H1008" s="15">
        <f t="shared" si="2"/>
        <v>0</v>
      </c>
      <c r="I1008" s="16">
        <f t="shared" si="3"/>
        <v>23349.59</v>
      </c>
    </row>
    <row r="1009" ht="22.5" customHeight="1">
      <c r="A1009" s="8"/>
      <c r="B1009" s="9" t="str">
        <f t="shared" si="1"/>
        <v>Dec-1899</v>
      </c>
      <c r="C1009" s="10"/>
      <c r="D1009" s="11"/>
      <c r="E1009" s="25"/>
      <c r="F1009" s="21"/>
      <c r="G1009" s="14"/>
      <c r="H1009" s="15">
        <f t="shared" si="2"/>
        <v>0</v>
      </c>
      <c r="I1009" s="16">
        <f t="shared" si="3"/>
        <v>23349.59</v>
      </c>
    </row>
    <row r="1010" ht="22.5" customHeight="1">
      <c r="A1010" s="8"/>
      <c r="B1010" s="9" t="str">
        <f t="shared" si="1"/>
        <v>Dec-1899</v>
      </c>
      <c r="C1010" s="10"/>
      <c r="D1010" s="11"/>
      <c r="E1010" s="25"/>
      <c r="F1010" s="21"/>
      <c r="G1010" s="14"/>
      <c r="H1010" s="15">
        <f t="shared" si="2"/>
        <v>0</v>
      </c>
      <c r="I1010" s="16">
        <f t="shared" si="3"/>
        <v>23349.59</v>
      </c>
    </row>
    <row r="1011" ht="22.5" customHeight="1">
      <c r="A1011" s="8"/>
      <c r="B1011" s="9" t="str">
        <f t="shared" si="1"/>
        <v>Dec-1899</v>
      </c>
      <c r="C1011" s="10"/>
      <c r="D1011" s="11"/>
      <c r="E1011" s="25"/>
      <c r="F1011" s="21"/>
      <c r="G1011" s="14"/>
      <c r="H1011" s="15">
        <f t="shared" si="2"/>
        <v>0</v>
      </c>
      <c r="I1011" s="16">
        <f t="shared" si="3"/>
        <v>23349.59</v>
      </c>
    </row>
    <row r="1012" ht="22.5" customHeight="1">
      <c r="A1012" s="8"/>
      <c r="B1012" s="9" t="str">
        <f t="shared" si="1"/>
        <v>Dec-1899</v>
      </c>
      <c r="C1012" s="10"/>
      <c r="D1012" s="11"/>
      <c r="E1012" s="25"/>
      <c r="F1012" s="21"/>
      <c r="G1012" s="14"/>
      <c r="H1012" s="15">
        <f t="shared" si="2"/>
        <v>0</v>
      </c>
      <c r="I1012" s="16">
        <f t="shared" si="3"/>
        <v>23349.59</v>
      </c>
    </row>
    <row r="1013" ht="22.5" customHeight="1">
      <c r="A1013" s="8"/>
      <c r="B1013" s="9" t="str">
        <f t="shared" si="1"/>
        <v>Dec-1899</v>
      </c>
      <c r="C1013" s="10"/>
      <c r="D1013" s="11"/>
      <c r="E1013" s="25"/>
      <c r="F1013" s="21"/>
      <c r="G1013" s="14"/>
      <c r="H1013" s="15">
        <f t="shared" si="2"/>
        <v>0</v>
      </c>
      <c r="I1013" s="16">
        <f t="shared" si="3"/>
        <v>23349.59</v>
      </c>
    </row>
    <row r="1014" ht="22.5" customHeight="1">
      <c r="A1014" s="8"/>
      <c r="B1014" s="9" t="str">
        <f t="shared" si="1"/>
        <v>Dec-1899</v>
      </c>
      <c r="C1014" s="10"/>
      <c r="D1014" s="11"/>
      <c r="E1014" s="25"/>
      <c r="F1014" s="21"/>
      <c r="G1014" s="14"/>
      <c r="H1014" s="15">
        <f t="shared" si="2"/>
        <v>0</v>
      </c>
      <c r="I1014" s="16">
        <f t="shared" si="3"/>
        <v>23349.59</v>
      </c>
    </row>
    <row r="1015" ht="22.5" customHeight="1">
      <c r="A1015" s="8"/>
      <c r="B1015" s="9" t="str">
        <f t="shared" si="1"/>
        <v>Dec-1899</v>
      </c>
      <c r="C1015" s="10"/>
      <c r="D1015" s="11"/>
      <c r="E1015" s="25"/>
      <c r="F1015" s="21"/>
      <c r="G1015" s="14"/>
      <c r="H1015" s="15">
        <f t="shared" si="2"/>
        <v>0</v>
      </c>
      <c r="I1015" s="16">
        <f t="shared" si="3"/>
        <v>23349.59</v>
      </c>
    </row>
    <row r="1016" ht="22.5" customHeight="1">
      <c r="A1016" s="8"/>
      <c r="B1016" s="9" t="str">
        <f t="shared" si="1"/>
        <v>Dec-1899</v>
      </c>
      <c r="C1016" s="10"/>
      <c r="D1016" s="11"/>
      <c r="E1016" s="25"/>
      <c r="F1016" s="21"/>
      <c r="G1016" s="14"/>
      <c r="H1016" s="15">
        <f t="shared" si="2"/>
        <v>0</v>
      </c>
      <c r="I1016" s="16">
        <f t="shared" si="3"/>
        <v>23349.59</v>
      </c>
    </row>
    <row r="1017" ht="22.5" customHeight="1">
      <c r="A1017" s="8"/>
      <c r="B1017" s="9" t="str">
        <f t="shared" si="1"/>
        <v>Dec-1899</v>
      </c>
      <c r="C1017" s="10"/>
      <c r="D1017" s="11"/>
      <c r="E1017" s="25"/>
      <c r="F1017" s="21"/>
      <c r="G1017" s="14"/>
      <c r="H1017" s="15">
        <f t="shared" si="2"/>
        <v>0</v>
      </c>
      <c r="I1017" s="16">
        <f t="shared" si="3"/>
        <v>23349.59</v>
      </c>
    </row>
    <row r="1018" ht="22.5" customHeight="1">
      <c r="A1018" s="8"/>
      <c r="B1018" s="9" t="str">
        <f t="shared" si="1"/>
        <v>Dec-1899</v>
      </c>
      <c r="C1018" s="10"/>
      <c r="D1018" s="11"/>
      <c r="E1018" s="25"/>
      <c r="F1018" s="21"/>
      <c r="G1018" s="14"/>
      <c r="H1018" s="15">
        <f t="shared" si="2"/>
        <v>0</v>
      </c>
      <c r="I1018" s="16">
        <f t="shared" si="3"/>
        <v>23349.59</v>
      </c>
    </row>
    <row r="1019" ht="22.5" customHeight="1">
      <c r="A1019" s="8"/>
      <c r="B1019" s="9" t="str">
        <f t="shared" si="1"/>
        <v>Dec-1899</v>
      </c>
      <c r="C1019" s="10"/>
      <c r="D1019" s="11"/>
      <c r="E1019" s="25"/>
      <c r="F1019" s="21"/>
      <c r="G1019" s="14"/>
      <c r="H1019" s="15">
        <f t="shared" si="2"/>
        <v>0</v>
      </c>
      <c r="I1019" s="16">
        <f t="shared" si="3"/>
        <v>23349.59</v>
      </c>
    </row>
    <row r="1020" ht="22.5" customHeight="1">
      <c r="A1020" s="8"/>
      <c r="B1020" s="9" t="str">
        <f t="shared" si="1"/>
        <v>Dec-1899</v>
      </c>
      <c r="C1020" s="10"/>
      <c r="D1020" s="11"/>
      <c r="E1020" s="25"/>
      <c r="F1020" s="21"/>
      <c r="G1020" s="14"/>
      <c r="H1020" s="15">
        <f t="shared" si="2"/>
        <v>0</v>
      </c>
      <c r="I1020" s="16">
        <f t="shared" si="3"/>
        <v>23349.59</v>
      </c>
    </row>
    <row r="1021" ht="22.5" customHeight="1">
      <c r="A1021" s="8"/>
      <c r="B1021" s="9" t="str">
        <f t="shared" si="1"/>
        <v>Dec-1899</v>
      </c>
      <c r="C1021" s="10"/>
      <c r="D1021" s="11"/>
      <c r="E1021" s="25"/>
      <c r="F1021" s="21"/>
      <c r="G1021" s="14"/>
      <c r="H1021" s="15">
        <f t="shared" si="2"/>
        <v>0</v>
      </c>
      <c r="I1021" s="16">
        <f t="shared" si="3"/>
        <v>23349.59</v>
      </c>
    </row>
    <row r="1022" ht="22.5" customHeight="1">
      <c r="A1022" s="8"/>
      <c r="B1022" s="9" t="str">
        <f t="shared" si="1"/>
        <v>Dec-1899</v>
      </c>
      <c r="C1022" s="10"/>
      <c r="D1022" s="11"/>
      <c r="E1022" s="25"/>
      <c r="F1022" s="21"/>
      <c r="G1022" s="14"/>
      <c r="H1022" s="15">
        <f t="shared" si="2"/>
        <v>0</v>
      </c>
      <c r="I1022" s="16">
        <f t="shared" si="3"/>
        <v>23349.59</v>
      </c>
    </row>
    <row r="1023" ht="22.5" customHeight="1">
      <c r="A1023" s="8"/>
      <c r="B1023" s="9" t="str">
        <f t="shared" si="1"/>
        <v>Dec-1899</v>
      </c>
      <c r="C1023" s="10"/>
      <c r="D1023" s="11"/>
      <c r="E1023" s="25"/>
      <c r="F1023" s="21"/>
      <c r="G1023" s="14"/>
      <c r="H1023" s="15">
        <f t="shared" si="2"/>
        <v>0</v>
      </c>
      <c r="I1023" s="16">
        <f t="shared" si="3"/>
        <v>23349.59</v>
      </c>
    </row>
    <row r="1024" ht="22.5" customHeight="1">
      <c r="A1024" s="8"/>
      <c r="B1024" s="9" t="str">
        <f t="shared" si="1"/>
        <v>Dec-1899</v>
      </c>
      <c r="C1024" s="10"/>
      <c r="D1024" s="11"/>
      <c r="E1024" s="25"/>
      <c r="F1024" s="21"/>
      <c r="G1024" s="14"/>
      <c r="H1024" s="15">
        <f t="shared" si="2"/>
        <v>0</v>
      </c>
      <c r="I1024" s="16">
        <f t="shared" si="3"/>
        <v>23349.59</v>
      </c>
    </row>
    <row r="1025" ht="22.5" customHeight="1">
      <c r="A1025" s="8"/>
      <c r="B1025" s="9" t="str">
        <f t="shared" si="1"/>
        <v>Dec-1899</v>
      </c>
      <c r="C1025" s="10"/>
      <c r="D1025" s="11"/>
      <c r="E1025" s="25"/>
      <c r="F1025" s="21"/>
      <c r="G1025" s="14"/>
      <c r="H1025" s="15">
        <f t="shared" si="2"/>
        <v>0</v>
      </c>
      <c r="I1025" s="16">
        <f t="shared" si="3"/>
        <v>23349.59</v>
      </c>
    </row>
    <row r="1026" ht="22.5" customHeight="1">
      <c r="A1026" s="8"/>
      <c r="B1026" s="9" t="str">
        <f t="shared" si="1"/>
        <v>Dec-1899</v>
      </c>
      <c r="C1026" s="10"/>
      <c r="D1026" s="11"/>
      <c r="E1026" s="25"/>
      <c r="F1026" s="21"/>
      <c r="G1026" s="14"/>
      <c r="H1026" s="15">
        <f t="shared" si="2"/>
        <v>0</v>
      </c>
      <c r="I1026" s="16">
        <f t="shared" si="3"/>
        <v>23349.59</v>
      </c>
    </row>
    <row r="1027" ht="22.5" customHeight="1">
      <c r="A1027" s="8"/>
      <c r="B1027" s="9" t="str">
        <f t="shared" si="1"/>
        <v>Dec-1899</v>
      </c>
      <c r="C1027" s="10"/>
      <c r="D1027" s="11"/>
      <c r="E1027" s="25"/>
      <c r="F1027" s="21"/>
      <c r="G1027" s="14"/>
      <c r="H1027" s="15">
        <f t="shared" si="2"/>
        <v>0</v>
      </c>
      <c r="I1027" s="16">
        <f t="shared" si="3"/>
        <v>23349.59</v>
      </c>
    </row>
    <row r="1028" ht="22.5" customHeight="1">
      <c r="A1028" s="8"/>
      <c r="B1028" s="9" t="str">
        <f t="shared" si="1"/>
        <v>Dec-1899</v>
      </c>
      <c r="C1028" s="10"/>
      <c r="D1028" s="11"/>
      <c r="E1028" s="25"/>
      <c r="F1028" s="21"/>
      <c r="G1028" s="14"/>
      <c r="H1028" s="15">
        <f t="shared" si="2"/>
        <v>0</v>
      </c>
      <c r="I1028" s="16">
        <f t="shared" si="3"/>
        <v>23349.59</v>
      </c>
    </row>
    <row r="1029" ht="22.5" customHeight="1">
      <c r="A1029" s="8"/>
      <c r="B1029" s="9" t="str">
        <f t="shared" si="1"/>
        <v>Dec-1899</v>
      </c>
      <c r="C1029" s="10"/>
      <c r="D1029" s="11"/>
      <c r="E1029" s="25"/>
      <c r="F1029" s="21"/>
      <c r="G1029" s="14"/>
      <c r="H1029" s="15">
        <f t="shared" si="2"/>
        <v>0</v>
      </c>
      <c r="I1029" s="16">
        <f t="shared" si="3"/>
        <v>23349.59</v>
      </c>
    </row>
    <row r="1030" ht="22.5" customHeight="1">
      <c r="A1030" s="8"/>
      <c r="B1030" s="9" t="str">
        <f t="shared" si="1"/>
        <v>Dec-1899</v>
      </c>
      <c r="C1030" s="10"/>
      <c r="D1030" s="11"/>
      <c r="E1030" s="25"/>
      <c r="F1030" s="21"/>
      <c r="G1030" s="14"/>
      <c r="H1030" s="15">
        <f t="shared" si="2"/>
        <v>0</v>
      </c>
      <c r="I1030" s="16">
        <f t="shared" si="3"/>
        <v>23349.59</v>
      </c>
    </row>
    <row r="1031" ht="22.5" customHeight="1">
      <c r="A1031" s="8"/>
      <c r="B1031" s="9" t="str">
        <f t="shared" si="1"/>
        <v>Dec-1899</v>
      </c>
      <c r="C1031" s="10"/>
      <c r="D1031" s="11"/>
      <c r="E1031" s="25"/>
      <c r="F1031" s="21"/>
      <c r="G1031" s="14"/>
      <c r="H1031" s="15">
        <f t="shared" si="2"/>
        <v>0</v>
      </c>
      <c r="I1031" s="16">
        <f t="shared" si="3"/>
        <v>23349.59</v>
      </c>
    </row>
    <row r="1032" ht="22.5" customHeight="1">
      <c r="A1032" s="8"/>
      <c r="B1032" s="9" t="str">
        <f t="shared" si="1"/>
        <v>Dec-1899</v>
      </c>
      <c r="C1032" s="10"/>
      <c r="D1032" s="11"/>
      <c r="E1032" s="25"/>
      <c r="F1032" s="21"/>
      <c r="G1032" s="14"/>
      <c r="H1032" s="15">
        <f t="shared" si="2"/>
        <v>0</v>
      </c>
      <c r="I1032" s="16">
        <f t="shared" si="3"/>
        <v>23349.59</v>
      </c>
    </row>
    <row r="1033" ht="22.5" customHeight="1">
      <c r="A1033" s="8"/>
      <c r="B1033" s="9" t="str">
        <f t="shared" si="1"/>
        <v>Dec-1899</v>
      </c>
      <c r="C1033" s="10"/>
      <c r="D1033" s="11"/>
      <c r="E1033" s="25"/>
      <c r="F1033" s="21"/>
      <c r="G1033" s="14"/>
      <c r="H1033" s="15">
        <f t="shared" si="2"/>
        <v>0</v>
      </c>
      <c r="I1033" s="16">
        <f t="shared" si="3"/>
        <v>23349.59</v>
      </c>
    </row>
    <row r="1034" ht="22.5" customHeight="1">
      <c r="A1034" s="8"/>
      <c r="B1034" s="9" t="str">
        <f t="shared" si="1"/>
        <v>Dec-1899</v>
      </c>
      <c r="C1034" s="10"/>
      <c r="D1034" s="11"/>
      <c r="E1034" s="25"/>
      <c r="F1034" s="21"/>
      <c r="G1034" s="14"/>
      <c r="H1034" s="15">
        <f t="shared" si="2"/>
        <v>0</v>
      </c>
      <c r="I1034" s="16">
        <f t="shared" si="3"/>
        <v>23349.59</v>
      </c>
    </row>
    <row r="1035" ht="22.5" customHeight="1">
      <c r="A1035" s="8"/>
      <c r="B1035" s="9" t="str">
        <f t="shared" si="1"/>
        <v>Dec-1899</v>
      </c>
      <c r="C1035" s="10"/>
      <c r="D1035" s="11"/>
      <c r="E1035" s="25"/>
      <c r="F1035" s="21"/>
      <c r="G1035" s="14"/>
      <c r="H1035" s="15">
        <f t="shared" si="2"/>
        <v>0</v>
      </c>
      <c r="I1035" s="16">
        <f t="shared" si="3"/>
        <v>23349.59</v>
      </c>
    </row>
    <row r="1036" ht="22.5" customHeight="1">
      <c r="A1036" s="8"/>
      <c r="B1036" s="9" t="str">
        <f t="shared" si="1"/>
        <v>Dec-1899</v>
      </c>
      <c r="C1036" s="10"/>
      <c r="D1036" s="11"/>
      <c r="E1036" s="25"/>
      <c r="F1036" s="21"/>
      <c r="G1036" s="14"/>
      <c r="H1036" s="15">
        <f t="shared" si="2"/>
        <v>0</v>
      </c>
      <c r="I1036" s="16">
        <f t="shared" si="3"/>
        <v>23349.59</v>
      </c>
    </row>
    <row r="1037" ht="22.5" customHeight="1">
      <c r="A1037" s="8"/>
      <c r="B1037" s="9" t="str">
        <f t="shared" si="1"/>
        <v>Dec-1899</v>
      </c>
      <c r="C1037" s="10"/>
      <c r="D1037" s="11"/>
      <c r="E1037" s="25"/>
      <c r="F1037" s="21"/>
      <c r="G1037" s="14"/>
      <c r="H1037" s="15">
        <f t="shared" si="2"/>
        <v>0</v>
      </c>
      <c r="I1037" s="16">
        <f t="shared" si="3"/>
        <v>23349.59</v>
      </c>
    </row>
    <row r="1038" ht="22.5" customHeight="1">
      <c r="A1038" s="8"/>
      <c r="B1038" s="9" t="str">
        <f t="shared" si="1"/>
        <v>Dec-1899</v>
      </c>
      <c r="C1038" s="10"/>
      <c r="D1038" s="11"/>
      <c r="E1038" s="25"/>
      <c r="F1038" s="21"/>
      <c r="G1038" s="14"/>
      <c r="H1038" s="15">
        <f t="shared" si="2"/>
        <v>0</v>
      </c>
      <c r="I1038" s="16">
        <f t="shared" si="3"/>
        <v>23349.59</v>
      </c>
    </row>
    <row r="1039" ht="22.5" customHeight="1">
      <c r="A1039" s="8"/>
      <c r="B1039" s="9" t="str">
        <f t="shared" si="1"/>
        <v>Dec-1899</v>
      </c>
      <c r="C1039" s="10"/>
      <c r="D1039" s="11"/>
      <c r="E1039" s="25"/>
      <c r="F1039" s="21"/>
      <c r="G1039" s="14"/>
      <c r="H1039" s="15">
        <f t="shared" si="2"/>
        <v>0</v>
      </c>
      <c r="I1039" s="16">
        <f t="shared" si="3"/>
        <v>23349.59</v>
      </c>
    </row>
    <row r="1040" ht="22.5" customHeight="1">
      <c r="A1040" s="8"/>
      <c r="B1040" s="9" t="str">
        <f t="shared" si="1"/>
        <v>Dec-1899</v>
      </c>
      <c r="C1040" s="10"/>
      <c r="D1040" s="11"/>
      <c r="E1040" s="25"/>
      <c r="F1040" s="21"/>
      <c r="G1040" s="14"/>
      <c r="H1040" s="15">
        <f t="shared" si="2"/>
        <v>0</v>
      </c>
      <c r="I1040" s="16">
        <f t="shared" si="3"/>
        <v>23349.59</v>
      </c>
    </row>
    <row r="1041" ht="22.5" customHeight="1">
      <c r="A1041" s="8"/>
      <c r="B1041" s="9" t="str">
        <f t="shared" si="1"/>
        <v>Dec-1899</v>
      </c>
      <c r="C1041" s="10"/>
      <c r="D1041" s="11"/>
      <c r="E1041" s="25"/>
      <c r="F1041" s="21"/>
      <c r="G1041" s="14"/>
      <c r="H1041" s="15">
        <f t="shared" si="2"/>
        <v>0</v>
      </c>
      <c r="I1041" s="16">
        <f t="shared" si="3"/>
        <v>23349.59</v>
      </c>
    </row>
    <row r="1042" ht="22.5" customHeight="1">
      <c r="A1042" s="8"/>
      <c r="B1042" s="9" t="str">
        <f t="shared" si="1"/>
        <v>Dec-1899</v>
      </c>
      <c r="C1042" s="10"/>
      <c r="D1042" s="11"/>
      <c r="E1042" s="25"/>
      <c r="F1042" s="21"/>
      <c r="G1042" s="14"/>
      <c r="H1042" s="15">
        <f t="shared" si="2"/>
        <v>0</v>
      </c>
      <c r="I1042" s="16">
        <f t="shared" si="3"/>
        <v>23349.59</v>
      </c>
    </row>
    <row r="1043" ht="22.5" customHeight="1">
      <c r="A1043" s="8"/>
      <c r="B1043" s="9" t="str">
        <f t="shared" si="1"/>
        <v>Dec-1899</v>
      </c>
      <c r="C1043" s="10"/>
      <c r="D1043" s="11"/>
      <c r="E1043" s="25"/>
      <c r="F1043" s="21"/>
      <c r="G1043" s="14"/>
      <c r="H1043" s="15">
        <f t="shared" si="2"/>
        <v>0</v>
      </c>
      <c r="I1043" s="16">
        <f t="shared" si="3"/>
        <v>23349.59</v>
      </c>
    </row>
    <row r="1044" ht="22.5" customHeight="1">
      <c r="A1044" s="8"/>
      <c r="B1044" s="9" t="str">
        <f t="shared" si="1"/>
        <v>Dec-1899</v>
      </c>
      <c r="C1044" s="10"/>
      <c r="D1044" s="11"/>
      <c r="E1044" s="25"/>
      <c r="F1044" s="21"/>
      <c r="G1044" s="14"/>
      <c r="H1044" s="15">
        <f t="shared" si="2"/>
        <v>0</v>
      </c>
      <c r="I1044" s="16">
        <f t="shared" si="3"/>
        <v>23349.59</v>
      </c>
    </row>
    <row r="1045" ht="22.5" customHeight="1">
      <c r="A1045" s="8"/>
      <c r="B1045" s="9" t="str">
        <f t="shared" si="1"/>
        <v>Dec-1899</v>
      </c>
      <c r="C1045" s="10"/>
      <c r="D1045" s="11"/>
      <c r="E1045" s="25"/>
      <c r="F1045" s="21"/>
      <c r="G1045" s="14"/>
      <c r="H1045" s="15">
        <f t="shared" si="2"/>
        <v>0</v>
      </c>
      <c r="I1045" s="16">
        <f t="shared" si="3"/>
        <v>23349.59</v>
      </c>
    </row>
    <row r="1046" ht="22.5" customHeight="1">
      <c r="A1046" s="8"/>
      <c r="B1046" s="9" t="str">
        <f t="shared" si="1"/>
        <v>Dec-1899</v>
      </c>
      <c r="C1046" s="10"/>
      <c r="D1046" s="11"/>
      <c r="E1046" s="25"/>
      <c r="F1046" s="21"/>
      <c r="G1046" s="14"/>
      <c r="H1046" s="15">
        <f t="shared" si="2"/>
        <v>0</v>
      </c>
      <c r="I1046" s="16">
        <f t="shared" si="3"/>
        <v>23349.59</v>
      </c>
    </row>
    <row r="1047" ht="22.5" customHeight="1">
      <c r="A1047" s="8"/>
      <c r="B1047" s="9" t="str">
        <f t="shared" si="1"/>
        <v>Dec-1899</v>
      </c>
      <c r="C1047" s="10"/>
      <c r="D1047" s="11"/>
      <c r="E1047" s="25"/>
      <c r="F1047" s="21"/>
      <c r="G1047" s="14"/>
      <c r="H1047" s="15">
        <f t="shared" si="2"/>
        <v>0</v>
      </c>
      <c r="I1047" s="16">
        <f t="shared" si="3"/>
        <v>23349.59</v>
      </c>
    </row>
    <row r="1048" ht="22.5" customHeight="1">
      <c r="A1048" s="8"/>
      <c r="B1048" s="9" t="str">
        <f t="shared" si="1"/>
        <v>Dec-1899</v>
      </c>
      <c r="C1048" s="10"/>
      <c r="D1048" s="11"/>
      <c r="E1048" s="25"/>
      <c r="F1048" s="21"/>
      <c r="G1048" s="14"/>
      <c r="H1048" s="15">
        <f t="shared" si="2"/>
        <v>0</v>
      </c>
      <c r="I1048" s="16">
        <f t="shared" si="3"/>
        <v>23349.59</v>
      </c>
    </row>
    <row r="1049" ht="22.5" customHeight="1">
      <c r="A1049" s="8"/>
      <c r="B1049" s="9" t="str">
        <f t="shared" si="1"/>
        <v>Dec-1899</v>
      </c>
      <c r="C1049" s="10"/>
      <c r="D1049" s="11"/>
      <c r="E1049" s="25"/>
      <c r="F1049" s="21"/>
      <c r="G1049" s="14"/>
      <c r="H1049" s="15">
        <f t="shared" si="2"/>
        <v>0</v>
      </c>
      <c r="I1049" s="16">
        <f t="shared" si="3"/>
        <v>23349.59</v>
      </c>
    </row>
    <row r="1050" ht="22.5" customHeight="1">
      <c r="A1050" s="8"/>
      <c r="B1050" s="9" t="str">
        <f t="shared" si="1"/>
        <v>Dec-1899</v>
      </c>
      <c r="C1050" s="10"/>
      <c r="D1050" s="11"/>
      <c r="E1050" s="25"/>
      <c r="F1050" s="21"/>
      <c r="G1050" s="14"/>
      <c r="H1050" s="15">
        <f t="shared" si="2"/>
        <v>0</v>
      </c>
      <c r="I1050" s="16">
        <f t="shared" si="3"/>
        <v>23349.59</v>
      </c>
    </row>
    <row r="1051" ht="22.5" customHeight="1">
      <c r="A1051" s="8"/>
      <c r="B1051" s="9" t="str">
        <f t="shared" si="1"/>
        <v>Dec-1899</v>
      </c>
      <c r="C1051" s="10"/>
      <c r="D1051" s="11"/>
      <c r="E1051" s="25"/>
      <c r="F1051" s="21"/>
      <c r="G1051" s="14"/>
      <c r="H1051" s="15">
        <f t="shared" si="2"/>
        <v>0</v>
      </c>
      <c r="I1051" s="16">
        <f t="shared" si="3"/>
        <v>23349.59</v>
      </c>
    </row>
    <row r="1052" ht="22.5" customHeight="1">
      <c r="A1052" s="8"/>
      <c r="B1052" s="9" t="str">
        <f t="shared" si="1"/>
        <v>Dec-1899</v>
      </c>
      <c r="C1052" s="10"/>
      <c r="D1052" s="11"/>
      <c r="E1052" s="25"/>
      <c r="F1052" s="21"/>
      <c r="G1052" s="14"/>
      <c r="H1052" s="15">
        <f t="shared" si="2"/>
        <v>0</v>
      </c>
      <c r="I1052" s="16">
        <f t="shared" si="3"/>
        <v>23349.59</v>
      </c>
    </row>
    <row r="1053" ht="22.5" customHeight="1">
      <c r="A1053" s="8"/>
      <c r="B1053" s="9" t="str">
        <f t="shared" si="1"/>
        <v>Dec-1899</v>
      </c>
      <c r="C1053" s="10"/>
      <c r="D1053" s="11"/>
      <c r="E1053" s="25"/>
      <c r="F1053" s="21"/>
      <c r="G1053" s="14"/>
      <c r="H1053" s="15">
        <f t="shared" si="2"/>
        <v>0</v>
      </c>
      <c r="I1053" s="16">
        <f t="shared" si="3"/>
        <v>23349.59</v>
      </c>
    </row>
    <row r="1054" ht="22.5" customHeight="1">
      <c r="A1054" s="8"/>
      <c r="B1054" s="9" t="str">
        <f t="shared" si="1"/>
        <v>Dec-1899</v>
      </c>
      <c r="C1054" s="10"/>
      <c r="D1054" s="11"/>
      <c r="E1054" s="25"/>
      <c r="F1054" s="21"/>
      <c r="G1054" s="14"/>
      <c r="H1054" s="15">
        <f t="shared" si="2"/>
        <v>0</v>
      </c>
      <c r="I1054" s="16">
        <f t="shared" si="3"/>
        <v>23349.59</v>
      </c>
    </row>
    <row r="1055" ht="22.5" customHeight="1">
      <c r="A1055" s="8"/>
      <c r="B1055" s="9" t="str">
        <f t="shared" si="1"/>
        <v>Dec-1899</v>
      </c>
      <c r="C1055" s="10"/>
      <c r="D1055" s="11"/>
      <c r="E1055" s="25"/>
      <c r="F1055" s="21"/>
      <c r="G1055" s="14"/>
      <c r="H1055" s="15">
        <f t="shared" si="2"/>
        <v>0</v>
      </c>
      <c r="I1055" s="16">
        <f t="shared" si="3"/>
        <v>23349.59</v>
      </c>
    </row>
    <row r="1056" ht="22.5" customHeight="1">
      <c r="A1056" s="8"/>
      <c r="B1056" s="9" t="str">
        <f t="shared" si="1"/>
        <v>Dec-1899</v>
      </c>
      <c r="C1056" s="10"/>
      <c r="D1056" s="11"/>
      <c r="E1056" s="25"/>
      <c r="F1056" s="21"/>
      <c r="G1056" s="14"/>
      <c r="H1056" s="15">
        <f t="shared" si="2"/>
        <v>0</v>
      </c>
      <c r="I1056" s="16">
        <f t="shared" si="3"/>
        <v>23349.59</v>
      </c>
    </row>
    <row r="1057" ht="22.5" customHeight="1">
      <c r="A1057" s="8"/>
      <c r="B1057" s="9" t="str">
        <f t="shared" si="1"/>
        <v>Dec-1899</v>
      </c>
      <c r="C1057" s="10"/>
      <c r="D1057" s="11"/>
      <c r="E1057" s="25"/>
      <c r="F1057" s="21"/>
      <c r="G1057" s="14"/>
      <c r="H1057" s="15">
        <f t="shared" si="2"/>
        <v>0</v>
      </c>
      <c r="I1057" s="16">
        <f t="shared" si="3"/>
        <v>23349.59</v>
      </c>
    </row>
    <row r="1058" ht="22.5" customHeight="1">
      <c r="A1058" s="8"/>
      <c r="B1058" s="9" t="str">
        <f t="shared" si="1"/>
        <v>Dec-1899</v>
      </c>
      <c r="C1058" s="10"/>
      <c r="D1058" s="11"/>
      <c r="E1058" s="25"/>
      <c r="F1058" s="21"/>
      <c r="G1058" s="14"/>
      <c r="H1058" s="15">
        <f t="shared" si="2"/>
        <v>0</v>
      </c>
      <c r="I1058" s="16">
        <f t="shared" si="3"/>
        <v>23349.59</v>
      </c>
    </row>
    <row r="1059" ht="22.5" customHeight="1">
      <c r="A1059" s="8"/>
      <c r="B1059" s="9" t="str">
        <f t="shared" si="1"/>
        <v>Dec-1899</v>
      </c>
      <c r="C1059" s="10"/>
      <c r="D1059" s="11"/>
      <c r="E1059" s="25"/>
      <c r="F1059" s="21"/>
      <c r="G1059" s="14"/>
      <c r="H1059" s="15">
        <f t="shared" si="2"/>
        <v>0</v>
      </c>
      <c r="I1059" s="16">
        <f t="shared" si="3"/>
        <v>23349.59</v>
      </c>
    </row>
    <row r="1060" ht="22.5" customHeight="1">
      <c r="A1060" s="8"/>
      <c r="B1060" s="9" t="str">
        <f t="shared" si="1"/>
        <v>Dec-1899</v>
      </c>
      <c r="C1060" s="10"/>
      <c r="D1060" s="11"/>
      <c r="E1060" s="25"/>
      <c r="F1060" s="21"/>
      <c r="G1060" s="14"/>
      <c r="H1060" s="15">
        <f t="shared" si="2"/>
        <v>0</v>
      </c>
      <c r="I1060" s="16">
        <f t="shared" si="3"/>
        <v>23349.59</v>
      </c>
    </row>
    <row r="1061" ht="22.5" customHeight="1">
      <c r="A1061" s="8"/>
      <c r="B1061" s="9" t="str">
        <f t="shared" si="1"/>
        <v>Dec-1899</v>
      </c>
      <c r="C1061" s="10"/>
      <c r="D1061" s="11"/>
      <c r="E1061" s="25"/>
      <c r="F1061" s="21"/>
      <c r="G1061" s="14"/>
      <c r="H1061" s="15">
        <f t="shared" si="2"/>
        <v>0</v>
      </c>
      <c r="I1061" s="16">
        <f t="shared" si="3"/>
        <v>23349.59</v>
      </c>
    </row>
    <row r="1062" ht="22.5" customHeight="1">
      <c r="A1062" s="8"/>
      <c r="B1062" s="9" t="str">
        <f t="shared" si="1"/>
        <v>Dec-1899</v>
      </c>
      <c r="C1062" s="10"/>
      <c r="D1062" s="11"/>
      <c r="E1062" s="25"/>
      <c r="F1062" s="21"/>
      <c r="G1062" s="14"/>
      <c r="H1062" s="15">
        <f t="shared" si="2"/>
        <v>0</v>
      </c>
      <c r="I1062" s="16">
        <f t="shared" si="3"/>
        <v>23349.59</v>
      </c>
    </row>
    <row r="1063" ht="22.5" customHeight="1">
      <c r="A1063" s="8"/>
      <c r="B1063" s="9" t="str">
        <f t="shared" si="1"/>
        <v>Dec-1899</v>
      </c>
      <c r="C1063" s="10"/>
      <c r="D1063" s="11"/>
      <c r="E1063" s="25"/>
      <c r="F1063" s="21"/>
      <c r="G1063" s="14"/>
      <c r="H1063" s="15">
        <f t="shared" si="2"/>
        <v>0</v>
      </c>
      <c r="I1063" s="16">
        <f t="shared" si="3"/>
        <v>23349.59</v>
      </c>
    </row>
    <row r="1064" ht="22.5" customHeight="1">
      <c r="A1064" s="8"/>
      <c r="B1064" s="9" t="str">
        <f t="shared" si="1"/>
        <v>Dec-1899</v>
      </c>
      <c r="C1064" s="10"/>
      <c r="D1064" s="11"/>
      <c r="E1064" s="25"/>
      <c r="F1064" s="21"/>
      <c r="G1064" s="14"/>
      <c r="H1064" s="15">
        <f t="shared" si="2"/>
        <v>0</v>
      </c>
      <c r="I1064" s="16">
        <f t="shared" si="3"/>
        <v>23349.59</v>
      </c>
    </row>
    <row r="1065" ht="22.5" customHeight="1">
      <c r="A1065" s="8"/>
      <c r="B1065" s="9" t="str">
        <f t="shared" si="1"/>
        <v>Dec-1899</v>
      </c>
      <c r="C1065" s="10"/>
      <c r="D1065" s="11"/>
      <c r="E1065" s="25"/>
      <c r="F1065" s="21"/>
      <c r="G1065" s="14"/>
      <c r="H1065" s="15">
        <f t="shared" si="2"/>
        <v>0</v>
      </c>
      <c r="I1065" s="16">
        <f t="shared" si="3"/>
        <v>23349.59</v>
      </c>
    </row>
    <row r="1066" ht="22.5" customHeight="1">
      <c r="A1066" s="8"/>
      <c r="B1066" s="9" t="str">
        <f t="shared" si="1"/>
        <v>Dec-1899</v>
      </c>
      <c r="C1066" s="10"/>
      <c r="D1066" s="11"/>
      <c r="E1066" s="25"/>
      <c r="F1066" s="21"/>
      <c r="G1066" s="14"/>
      <c r="H1066" s="15">
        <f t="shared" si="2"/>
        <v>0</v>
      </c>
      <c r="I1066" s="16">
        <f t="shared" si="3"/>
        <v>23349.59</v>
      </c>
    </row>
    <row r="1067" ht="22.5" customHeight="1">
      <c r="A1067" s="8"/>
      <c r="B1067" s="9" t="str">
        <f t="shared" si="1"/>
        <v>Dec-1899</v>
      </c>
      <c r="C1067" s="10"/>
      <c r="D1067" s="11"/>
      <c r="E1067" s="25"/>
      <c r="F1067" s="21"/>
      <c r="G1067" s="14"/>
      <c r="H1067" s="15">
        <f t="shared" si="2"/>
        <v>0</v>
      </c>
      <c r="I1067" s="16">
        <f t="shared" si="3"/>
        <v>23349.59</v>
      </c>
    </row>
    <row r="1068" ht="22.5" customHeight="1">
      <c r="A1068" s="8"/>
      <c r="B1068" s="9" t="str">
        <f t="shared" si="1"/>
        <v>Dec-1899</v>
      </c>
      <c r="C1068" s="10"/>
      <c r="D1068" s="11"/>
      <c r="E1068" s="25"/>
      <c r="F1068" s="21"/>
      <c r="G1068" s="14"/>
      <c r="H1068" s="15">
        <f t="shared" si="2"/>
        <v>0</v>
      </c>
      <c r="I1068" s="16">
        <f t="shared" si="3"/>
        <v>23349.59</v>
      </c>
    </row>
    <row r="1069" ht="22.5" customHeight="1">
      <c r="A1069" s="8"/>
      <c r="B1069" s="9" t="str">
        <f t="shared" si="1"/>
        <v>Dec-1899</v>
      </c>
      <c r="C1069" s="10"/>
      <c r="D1069" s="11"/>
      <c r="E1069" s="25"/>
      <c r="F1069" s="21"/>
      <c r="G1069" s="14"/>
      <c r="H1069" s="15">
        <f t="shared" si="2"/>
        <v>0</v>
      </c>
      <c r="I1069" s="16">
        <f t="shared" si="3"/>
        <v>23349.59</v>
      </c>
    </row>
    <row r="1070" ht="22.5" customHeight="1">
      <c r="A1070" s="8"/>
      <c r="B1070" s="9" t="str">
        <f t="shared" si="1"/>
        <v>Dec-1899</v>
      </c>
      <c r="C1070" s="10"/>
      <c r="D1070" s="11"/>
      <c r="E1070" s="25"/>
      <c r="F1070" s="21"/>
      <c r="G1070" s="14"/>
      <c r="H1070" s="15">
        <f t="shared" si="2"/>
        <v>0</v>
      </c>
      <c r="I1070" s="16">
        <f t="shared" si="3"/>
        <v>23349.59</v>
      </c>
    </row>
    <row r="1071" ht="22.5" customHeight="1">
      <c r="A1071" s="8"/>
      <c r="B1071" s="9" t="str">
        <f t="shared" si="1"/>
        <v>Dec-1899</v>
      </c>
      <c r="C1071" s="10"/>
      <c r="D1071" s="11"/>
      <c r="E1071" s="25"/>
      <c r="F1071" s="21"/>
      <c r="G1071" s="14"/>
      <c r="H1071" s="15">
        <f t="shared" si="2"/>
        <v>0</v>
      </c>
      <c r="I1071" s="16">
        <f t="shared" si="3"/>
        <v>23349.59</v>
      </c>
    </row>
    <row r="1072" ht="22.5" customHeight="1">
      <c r="A1072" s="8"/>
      <c r="B1072" s="9" t="str">
        <f t="shared" si="1"/>
        <v>Dec-1899</v>
      </c>
      <c r="C1072" s="10"/>
      <c r="D1072" s="11"/>
      <c r="E1072" s="25"/>
      <c r="F1072" s="21"/>
      <c r="G1072" s="14"/>
      <c r="H1072" s="15">
        <f t="shared" si="2"/>
        <v>0</v>
      </c>
      <c r="I1072" s="16">
        <f t="shared" si="3"/>
        <v>23349.59</v>
      </c>
    </row>
    <row r="1073" ht="22.5" customHeight="1">
      <c r="A1073" s="8"/>
      <c r="B1073" s="9" t="str">
        <f t="shared" si="1"/>
        <v>Dec-1899</v>
      </c>
      <c r="C1073" s="10"/>
      <c r="D1073" s="11"/>
      <c r="E1073" s="25"/>
      <c r="F1073" s="21"/>
      <c r="G1073" s="14"/>
      <c r="H1073" s="15">
        <f t="shared" si="2"/>
        <v>0</v>
      </c>
      <c r="I1073" s="16">
        <f t="shared" si="3"/>
        <v>23349.59</v>
      </c>
    </row>
    <row r="1074" ht="22.5" customHeight="1">
      <c r="A1074" s="8"/>
      <c r="B1074" s="9" t="str">
        <f t="shared" si="1"/>
        <v>Dec-1899</v>
      </c>
      <c r="C1074" s="10"/>
      <c r="D1074" s="11"/>
      <c r="E1074" s="25"/>
      <c r="F1074" s="21"/>
      <c r="G1074" s="14"/>
      <c r="H1074" s="15">
        <f t="shared" si="2"/>
        <v>0</v>
      </c>
      <c r="I1074" s="16">
        <f t="shared" si="3"/>
        <v>23349.59</v>
      </c>
    </row>
    <row r="1075" ht="22.5" customHeight="1">
      <c r="A1075" s="8"/>
      <c r="B1075" s="9" t="str">
        <f t="shared" si="1"/>
        <v>Dec-1899</v>
      </c>
      <c r="C1075" s="10"/>
      <c r="D1075" s="11"/>
      <c r="E1075" s="25"/>
      <c r="F1075" s="21"/>
      <c r="G1075" s="14"/>
      <c r="H1075" s="15">
        <f t="shared" si="2"/>
        <v>0</v>
      </c>
      <c r="I1075" s="16">
        <f t="shared" si="3"/>
        <v>23349.59</v>
      </c>
    </row>
    <row r="1076" ht="22.5" customHeight="1">
      <c r="A1076" s="8"/>
      <c r="B1076" s="9" t="str">
        <f t="shared" si="1"/>
        <v>Dec-1899</v>
      </c>
      <c r="C1076" s="10"/>
      <c r="D1076" s="11"/>
      <c r="E1076" s="25"/>
      <c r="F1076" s="21"/>
      <c r="G1076" s="14"/>
      <c r="H1076" s="15">
        <f t="shared" si="2"/>
        <v>0</v>
      </c>
      <c r="I1076" s="16">
        <f t="shared" si="3"/>
        <v>23349.59</v>
      </c>
    </row>
    <row r="1077" ht="22.5" customHeight="1">
      <c r="A1077" s="8"/>
      <c r="B1077" s="9" t="str">
        <f t="shared" si="1"/>
        <v>Dec-1899</v>
      </c>
      <c r="C1077" s="10"/>
      <c r="D1077" s="11"/>
      <c r="E1077" s="25"/>
      <c r="F1077" s="21"/>
      <c r="G1077" s="14"/>
      <c r="H1077" s="15">
        <f t="shared" si="2"/>
        <v>0</v>
      </c>
      <c r="I1077" s="16">
        <f t="shared" si="3"/>
        <v>23349.59</v>
      </c>
    </row>
    <row r="1078" ht="22.5" customHeight="1">
      <c r="A1078" s="8"/>
      <c r="B1078" s="9" t="str">
        <f t="shared" si="1"/>
        <v>Dec-1899</v>
      </c>
      <c r="C1078" s="10"/>
      <c r="D1078" s="11"/>
      <c r="E1078" s="25"/>
      <c r="F1078" s="21"/>
      <c r="G1078" s="14"/>
      <c r="H1078" s="15">
        <f t="shared" si="2"/>
        <v>0</v>
      </c>
      <c r="I1078" s="16">
        <f t="shared" si="3"/>
        <v>23349.59</v>
      </c>
    </row>
    <row r="1079" ht="22.5" customHeight="1">
      <c r="A1079" s="8"/>
      <c r="B1079" s="9" t="str">
        <f t="shared" si="1"/>
        <v>Dec-1899</v>
      </c>
      <c r="C1079" s="10"/>
      <c r="D1079" s="11"/>
      <c r="E1079" s="25"/>
      <c r="F1079" s="21"/>
      <c r="G1079" s="14"/>
      <c r="H1079" s="15">
        <f t="shared" si="2"/>
        <v>0</v>
      </c>
      <c r="I1079" s="16">
        <f t="shared" si="3"/>
        <v>23349.59</v>
      </c>
    </row>
    <row r="1080" ht="22.5" customHeight="1">
      <c r="A1080" s="8"/>
      <c r="B1080" s="9" t="str">
        <f t="shared" si="1"/>
        <v>Dec-1899</v>
      </c>
      <c r="C1080" s="10"/>
      <c r="D1080" s="11"/>
      <c r="E1080" s="25"/>
      <c r="F1080" s="21"/>
      <c r="G1080" s="14"/>
      <c r="H1080" s="15">
        <f t="shared" si="2"/>
        <v>0</v>
      </c>
      <c r="I1080" s="16">
        <f t="shared" si="3"/>
        <v>23349.59</v>
      </c>
    </row>
    <row r="1081" ht="22.5" customHeight="1">
      <c r="A1081" s="8"/>
      <c r="B1081" s="9" t="str">
        <f t="shared" si="1"/>
        <v>Dec-1899</v>
      </c>
      <c r="C1081" s="10"/>
      <c r="D1081" s="11"/>
      <c r="E1081" s="25"/>
      <c r="F1081" s="21"/>
      <c r="G1081" s="14"/>
      <c r="H1081" s="15">
        <f t="shared" si="2"/>
        <v>0</v>
      </c>
      <c r="I1081" s="16">
        <f t="shared" si="3"/>
        <v>23349.59</v>
      </c>
    </row>
    <row r="1082" ht="22.5" customHeight="1">
      <c r="A1082" s="8"/>
      <c r="B1082" s="9" t="str">
        <f t="shared" si="1"/>
        <v>Dec-1899</v>
      </c>
      <c r="C1082" s="10"/>
      <c r="D1082" s="11"/>
      <c r="E1082" s="25"/>
      <c r="F1082" s="21"/>
      <c r="G1082" s="14"/>
      <c r="H1082" s="15">
        <f t="shared" si="2"/>
        <v>0</v>
      </c>
      <c r="I1082" s="16">
        <f t="shared" si="3"/>
        <v>23349.59</v>
      </c>
    </row>
    <row r="1083" ht="22.5" customHeight="1">
      <c r="A1083" s="8"/>
      <c r="B1083" s="9" t="str">
        <f t="shared" si="1"/>
        <v>Dec-1899</v>
      </c>
      <c r="C1083" s="10"/>
      <c r="D1083" s="11"/>
      <c r="E1083" s="25"/>
      <c r="F1083" s="21"/>
      <c r="G1083" s="14"/>
      <c r="H1083" s="15">
        <f t="shared" si="2"/>
        <v>0</v>
      </c>
      <c r="I1083" s="16">
        <f t="shared" si="3"/>
        <v>23349.59</v>
      </c>
    </row>
    <row r="1084" ht="22.5" customHeight="1">
      <c r="A1084" s="8"/>
      <c r="B1084" s="9" t="str">
        <f t="shared" si="1"/>
        <v>Dec-1899</v>
      </c>
      <c r="C1084" s="10"/>
      <c r="D1084" s="11"/>
      <c r="E1084" s="25"/>
      <c r="F1084" s="21"/>
      <c r="G1084" s="14"/>
      <c r="H1084" s="15">
        <f t="shared" si="2"/>
        <v>0</v>
      </c>
      <c r="I1084" s="16">
        <f t="shared" si="3"/>
        <v>23349.59</v>
      </c>
    </row>
    <row r="1085" ht="22.5" customHeight="1">
      <c r="A1085" s="8"/>
      <c r="B1085" s="9" t="str">
        <f t="shared" si="1"/>
        <v>Dec-1899</v>
      </c>
      <c r="C1085" s="10"/>
      <c r="D1085" s="11"/>
      <c r="E1085" s="25"/>
      <c r="F1085" s="21"/>
      <c r="G1085" s="14"/>
      <c r="H1085" s="15">
        <f t="shared" si="2"/>
        <v>0</v>
      </c>
      <c r="I1085" s="16">
        <f t="shared" si="3"/>
        <v>23349.59</v>
      </c>
    </row>
    <row r="1086" ht="22.5" customHeight="1">
      <c r="A1086" s="8"/>
      <c r="B1086" s="9" t="str">
        <f t="shared" si="1"/>
        <v>Dec-1899</v>
      </c>
      <c r="C1086" s="10"/>
      <c r="D1086" s="11"/>
      <c r="E1086" s="25"/>
      <c r="F1086" s="21"/>
      <c r="G1086" s="14"/>
      <c r="H1086" s="15">
        <f t="shared" si="2"/>
        <v>0</v>
      </c>
      <c r="I1086" s="16">
        <f t="shared" si="3"/>
        <v>23349.59</v>
      </c>
    </row>
    <row r="1087" ht="22.5" customHeight="1">
      <c r="A1087" s="8"/>
      <c r="B1087" s="9" t="str">
        <f t="shared" si="1"/>
        <v>Dec-1899</v>
      </c>
      <c r="C1087" s="10"/>
      <c r="D1087" s="11"/>
      <c r="E1087" s="25"/>
      <c r="F1087" s="21"/>
      <c r="G1087" s="14"/>
      <c r="H1087" s="15">
        <f t="shared" si="2"/>
        <v>0</v>
      </c>
      <c r="I1087" s="16">
        <f t="shared" si="3"/>
        <v>23349.59</v>
      </c>
    </row>
    <row r="1088" ht="22.5" customHeight="1">
      <c r="A1088" s="8"/>
      <c r="B1088" s="9" t="str">
        <f t="shared" si="1"/>
        <v>Dec-1899</v>
      </c>
      <c r="C1088" s="10"/>
      <c r="D1088" s="11"/>
      <c r="E1088" s="25"/>
      <c r="F1088" s="21"/>
      <c r="G1088" s="14"/>
      <c r="H1088" s="15">
        <f t="shared" si="2"/>
        <v>0</v>
      </c>
      <c r="I1088" s="16">
        <f t="shared" si="3"/>
        <v>23349.59</v>
      </c>
    </row>
    <row r="1089" ht="22.5" customHeight="1">
      <c r="A1089" s="8"/>
      <c r="B1089" s="9" t="str">
        <f t="shared" si="1"/>
        <v>Dec-1899</v>
      </c>
      <c r="C1089" s="10"/>
      <c r="D1089" s="11"/>
      <c r="E1089" s="25"/>
      <c r="F1089" s="21"/>
      <c r="G1089" s="14"/>
      <c r="H1089" s="15">
        <f t="shared" si="2"/>
        <v>0</v>
      </c>
      <c r="I1089" s="16">
        <f t="shared" si="3"/>
        <v>23349.59</v>
      </c>
    </row>
    <row r="1090" ht="22.5" customHeight="1">
      <c r="A1090" s="8"/>
      <c r="B1090" s="9" t="str">
        <f t="shared" si="1"/>
        <v>Dec-1899</v>
      </c>
      <c r="C1090" s="10"/>
      <c r="D1090" s="11"/>
      <c r="E1090" s="25"/>
      <c r="F1090" s="21"/>
      <c r="G1090" s="14"/>
      <c r="H1090" s="15">
        <f t="shared" si="2"/>
        <v>0</v>
      </c>
      <c r="I1090" s="16">
        <f t="shared" si="3"/>
        <v>23349.59</v>
      </c>
    </row>
    <row r="1091" ht="22.5" customHeight="1">
      <c r="A1091" s="8"/>
      <c r="B1091" s="9" t="str">
        <f t="shared" si="1"/>
        <v>Dec-1899</v>
      </c>
      <c r="C1091" s="10"/>
      <c r="D1091" s="11"/>
      <c r="E1091" s="25"/>
      <c r="F1091" s="21"/>
      <c r="G1091" s="14"/>
      <c r="H1091" s="15">
        <f t="shared" si="2"/>
        <v>0</v>
      </c>
      <c r="I1091" s="16">
        <f t="shared" si="3"/>
        <v>23349.59</v>
      </c>
    </row>
    <row r="1092" ht="22.5" customHeight="1">
      <c r="A1092" s="8"/>
      <c r="B1092" s="9" t="str">
        <f t="shared" si="1"/>
        <v>Dec-1899</v>
      </c>
      <c r="C1092" s="10"/>
      <c r="D1092" s="11"/>
      <c r="E1092" s="25"/>
      <c r="F1092" s="21"/>
      <c r="G1092" s="14"/>
      <c r="H1092" s="15">
        <f t="shared" si="2"/>
        <v>0</v>
      </c>
      <c r="I1092" s="16">
        <f t="shared" si="3"/>
        <v>23349.59</v>
      </c>
    </row>
    <row r="1093" ht="22.5" customHeight="1">
      <c r="A1093" s="8"/>
      <c r="B1093" s="9" t="str">
        <f t="shared" si="1"/>
        <v>Dec-1899</v>
      </c>
      <c r="C1093" s="10"/>
      <c r="D1093" s="11"/>
      <c r="E1093" s="25"/>
      <c r="F1093" s="21"/>
      <c r="G1093" s="14"/>
      <c r="H1093" s="15">
        <f t="shared" si="2"/>
        <v>0</v>
      </c>
      <c r="I1093" s="16">
        <f t="shared" si="3"/>
        <v>23349.59</v>
      </c>
    </row>
    <row r="1094" ht="22.5" customHeight="1">
      <c r="A1094" s="8"/>
      <c r="B1094" s="9" t="str">
        <f t="shared" si="1"/>
        <v>Dec-1899</v>
      </c>
      <c r="C1094" s="10"/>
      <c r="D1094" s="11"/>
      <c r="E1094" s="25"/>
      <c r="F1094" s="21"/>
      <c r="G1094" s="14"/>
      <c r="H1094" s="15">
        <f t="shared" si="2"/>
        <v>0</v>
      </c>
      <c r="I1094" s="16">
        <f t="shared" si="3"/>
        <v>23349.59</v>
      </c>
    </row>
    <row r="1095" ht="22.5" customHeight="1">
      <c r="A1095" s="8"/>
      <c r="B1095" s="9" t="str">
        <f t="shared" si="1"/>
        <v>Dec-1899</v>
      </c>
      <c r="C1095" s="10"/>
      <c r="D1095" s="11"/>
      <c r="E1095" s="25"/>
      <c r="F1095" s="21"/>
      <c r="G1095" s="14"/>
      <c r="H1095" s="15">
        <f t="shared" si="2"/>
        <v>0</v>
      </c>
      <c r="I1095" s="16">
        <f t="shared" si="3"/>
        <v>23349.59</v>
      </c>
    </row>
    <row r="1096" ht="22.5" customHeight="1">
      <c r="A1096" s="8"/>
      <c r="B1096" s="9" t="str">
        <f t="shared" si="1"/>
        <v>Dec-1899</v>
      </c>
      <c r="C1096" s="10"/>
      <c r="D1096" s="11"/>
      <c r="E1096" s="25"/>
      <c r="F1096" s="21"/>
      <c r="G1096" s="14"/>
      <c r="H1096" s="15">
        <f t="shared" si="2"/>
        <v>0</v>
      </c>
      <c r="I1096" s="16">
        <f t="shared" si="3"/>
        <v>23349.59</v>
      </c>
    </row>
    <row r="1097" ht="22.5" customHeight="1">
      <c r="A1097" s="8"/>
      <c r="B1097" s="9" t="str">
        <f t="shared" si="1"/>
        <v>Dec-1899</v>
      </c>
      <c r="C1097" s="10"/>
      <c r="D1097" s="11"/>
      <c r="E1097" s="25"/>
      <c r="F1097" s="21"/>
      <c r="G1097" s="14"/>
      <c r="H1097" s="15">
        <f t="shared" si="2"/>
        <v>0</v>
      </c>
      <c r="I1097" s="16">
        <f t="shared" si="3"/>
        <v>23349.59</v>
      </c>
    </row>
    <row r="1098" ht="22.5" customHeight="1">
      <c r="A1098" s="8"/>
      <c r="B1098" s="9" t="str">
        <f t="shared" si="1"/>
        <v>Dec-1899</v>
      </c>
      <c r="C1098" s="10"/>
      <c r="D1098" s="11"/>
      <c r="E1098" s="25"/>
      <c r="F1098" s="21"/>
      <c r="G1098" s="14"/>
      <c r="H1098" s="15">
        <f t="shared" si="2"/>
        <v>0</v>
      </c>
      <c r="I1098" s="16">
        <f t="shared" si="3"/>
        <v>23349.59</v>
      </c>
    </row>
    <row r="1099" ht="22.5" customHeight="1">
      <c r="A1099" s="8"/>
      <c r="B1099" s="9" t="str">
        <f t="shared" si="1"/>
        <v>Dec-1899</v>
      </c>
      <c r="C1099" s="10"/>
      <c r="D1099" s="11"/>
      <c r="E1099" s="25"/>
      <c r="F1099" s="21"/>
      <c r="G1099" s="14"/>
      <c r="H1099" s="15">
        <f t="shared" si="2"/>
        <v>0</v>
      </c>
      <c r="I1099" s="16">
        <f t="shared" si="3"/>
        <v>23349.59</v>
      </c>
    </row>
    <row r="1100" ht="22.5" customHeight="1">
      <c r="A1100" s="8"/>
      <c r="B1100" s="9" t="str">
        <f t="shared" si="1"/>
        <v>Dec-1899</v>
      </c>
      <c r="C1100" s="10"/>
      <c r="D1100" s="11"/>
      <c r="E1100" s="25"/>
      <c r="F1100" s="21"/>
      <c r="G1100" s="14"/>
      <c r="H1100" s="15">
        <f t="shared" si="2"/>
        <v>0</v>
      </c>
      <c r="I1100" s="16">
        <f t="shared" si="3"/>
        <v>23349.59</v>
      </c>
    </row>
    <row r="1101" ht="22.5" customHeight="1">
      <c r="A1101" s="8"/>
      <c r="B1101" s="9" t="str">
        <f t="shared" si="1"/>
        <v>Dec-1899</v>
      </c>
      <c r="C1101" s="10"/>
      <c r="D1101" s="11"/>
      <c r="E1101" s="25"/>
      <c r="F1101" s="21"/>
      <c r="G1101" s="14"/>
      <c r="H1101" s="15">
        <f t="shared" si="2"/>
        <v>0</v>
      </c>
      <c r="I1101" s="16">
        <f t="shared" si="3"/>
        <v>23349.59</v>
      </c>
    </row>
    <row r="1102" ht="22.5" customHeight="1">
      <c r="A1102" s="8"/>
      <c r="B1102" s="9" t="str">
        <f t="shared" si="1"/>
        <v>Dec-1899</v>
      </c>
      <c r="C1102" s="10"/>
      <c r="D1102" s="11"/>
      <c r="E1102" s="25"/>
      <c r="F1102" s="21"/>
      <c r="G1102" s="14"/>
      <c r="H1102" s="15">
        <f t="shared" si="2"/>
        <v>0</v>
      </c>
      <c r="I1102" s="16">
        <f t="shared" si="3"/>
        <v>23349.59</v>
      </c>
    </row>
    <row r="1103" ht="22.5" customHeight="1">
      <c r="A1103" s="8"/>
      <c r="B1103" s="9" t="str">
        <f t="shared" si="1"/>
        <v>Dec-1899</v>
      </c>
      <c r="C1103" s="10"/>
      <c r="D1103" s="11"/>
      <c r="E1103" s="25"/>
      <c r="F1103" s="21"/>
      <c r="G1103" s="14"/>
      <c r="H1103" s="15">
        <f t="shared" si="2"/>
        <v>0</v>
      </c>
      <c r="I1103" s="16">
        <f t="shared" si="3"/>
        <v>23349.59</v>
      </c>
    </row>
    <row r="1104" ht="22.5" customHeight="1">
      <c r="A1104" s="8"/>
      <c r="B1104" s="9" t="str">
        <f t="shared" si="1"/>
        <v>Dec-1899</v>
      </c>
      <c r="C1104" s="10"/>
      <c r="D1104" s="11"/>
      <c r="E1104" s="25"/>
      <c r="F1104" s="21"/>
      <c r="G1104" s="14"/>
      <c r="H1104" s="15">
        <f t="shared" si="2"/>
        <v>0</v>
      </c>
      <c r="I1104" s="16">
        <f t="shared" si="3"/>
        <v>23349.59</v>
      </c>
    </row>
    <row r="1105" ht="22.5" customHeight="1">
      <c r="A1105" s="8"/>
      <c r="B1105" s="9" t="str">
        <f t="shared" si="1"/>
        <v>Dec-1899</v>
      </c>
      <c r="C1105" s="10"/>
      <c r="D1105" s="11"/>
      <c r="E1105" s="25"/>
      <c r="F1105" s="21"/>
      <c r="G1105" s="14"/>
      <c r="H1105" s="15">
        <f t="shared" si="2"/>
        <v>0</v>
      </c>
      <c r="I1105" s="16">
        <f t="shared" si="3"/>
        <v>23349.59</v>
      </c>
    </row>
    <row r="1106" ht="22.5" customHeight="1">
      <c r="A1106" s="8"/>
      <c r="B1106" s="9" t="str">
        <f t="shared" si="1"/>
        <v>Dec-1899</v>
      </c>
      <c r="C1106" s="10"/>
      <c r="D1106" s="11"/>
      <c r="E1106" s="25"/>
      <c r="F1106" s="21"/>
      <c r="G1106" s="14"/>
      <c r="H1106" s="15">
        <f t="shared" si="2"/>
        <v>0</v>
      </c>
      <c r="I1106" s="16">
        <f t="shared" si="3"/>
        <v>23349.59</v>
      </c>
    </row>
    <row r="1107" ht="22.5" customHeight="1">
      <c r="A1107" s="8"/>
      <c r="B1107" s="9" t="str">
        <f t="shared" si="1"/>
        <v>Dec-1899</v>
      </c>
      <c r="C1107" s="10"/>
      <c r="D1107" s="11"/>
      <c r="E1107" s="25"/>
      <c r="F1107" s="21"/>
      <c r="G1107" s="14"/>
      <c r="H1107" s="15">
        <f t="shared" si="2"/>
        <v>0</v>
      </c>
      <c r="I1107" s="16">
        <f t="shared" si="3"/>
        <v>23349.59</v>
      </c>
    </row>
    <row r="1108" ht="22.5" customHeight="1">
      <c r="A1108" s="8"/>
      <c r="B1108" s="9" t="str">
        <f t="shared" si="1"/>
        <v>Dec-1899</v>
      </c>
      <c r="C1108" s="10"/>
      <c r="D1108" s="11"/>
      <c r="E1108" s="25"/>
      <c r="F1108" s="21"/>
      <c r="G1108" s="14"/>
      <c r="H1108" s="15">
        <f t="shared" si="2"/>
        <v>0</v>
      </c>
      <c r="I1108" s="16">
        <f t="shared" si="3"/>
        <v>23349.59</v>
      </c>
    </row>
    <row r="1109" ht="22.5" customHeight="1">
      <c r="A1109" s="8"/>
      <c r="B1109" s="9" t="str">
        <f t="shared" si="1"/>
        <v>Dec-1899</v>
      </c>
      <c r="C1109" s="10"/>
      <c r="D1109" s="11"/>
      <c r="E1109" s="25"/>
      <c r="F1109" s="21"/>
      <c r="G1109" s="14"/>
      <c r="H1109" s="15">
        <f t="shared" si="2"/>
        <v>0</v>
      </c>
      <c r="I1109" s="16">
        <f t="shared" si="3"/>
        <v>23349.59</v>
      </c>
    </row>
    <row r="1110" ht="22.5" customHeight="1">
      <c r="A1110" s="8"/>
      <c r="B1110" s="9" t="str">
        <f t="shared" si="1"/>
        <v>Dec-1899</v>
      </c>
      <c r="C1110" s="10"/>
      <c r="D1110" s="11"/>
      <c r="E1110" s="25"/>
      <c r="F1110" s="21"/>
      <c r="G1110" s="14"/>
      <c r="H1110" s="15">
        <f t="shared" si="2"/>
        <v>0</v>
      </c>
      <c r="I1110" s="16">
        <f t="shared" si="3"/>
        <v>23349.59</v>
      </c>
    </row>
    <row r="1111" ht="22.5" customHeight="1">
      <c r="A1111" s="8"/>
      <c r="B1111" s="9" t="str">
        <f t="shared" si="1"/>
        <v>Dec-1899</v>
      </c>
      <c r="C1111" s="10"/>
      <c r="D1111" s="11"/>
      <c r="E1111" s="25"/>
      <c r="F1111" s="21"/>
      <c r="G1111" s="14"/>
      <c r="H1111" s="15">
        <f t="shared" si="2"/>
        <v>0</v>
      </c>
      <c r="I1111" s="16">
        <f t="shared" si="3"/>
        <v>23349.59</v>
      </c>
    </row>
    <row r="1112" ht="22.5" customHeight="1">
      <c r="A1112" s="8"/>
      <c r="B1112" s="9" t="str">
        <f t="shared" si="1"/>
        <v>Dec-1899</v>
      </c>
      <c r="C1112" s="10"/>
      <c r="D1112" s="11"/>
      <c r="E1112" s="25"/>
      <c r="F1112" s="21"/>
      <c r="G1112" s="14"/>
      <c r="H1112" s="15">
        <f t="shared" si="2"/>
        <v>0</v>
      </c>
      <c r="I1112" s="16">
        <f t="shared" si="3"/>
        <v>23349.59</v>
      </c>
    </row>
    <row r="1113" ht="22.5" customHeight="1">
      <c r="A1113" s="8"/>
      <c r="B1113" s="9" t="str">
        <f t="shared" si="1"/>
        <v>Dec-1899</v>
      </c>
      <c r="C1113" s="10"/>
      <c r="D1113" s="11"/>
      <c r="E1113" s="25"/>
      <c r="F1113" s="21"/>
      <c r="G1113" s="14"/>
      <c r="H1113" s="15">
        <f t="shared" si="2"/>
        <v>0</v>
      </c>
      <c r="I1113" s="16">
        <f t="shared" si="3"/>
        <v>23349.59</v>
      </c>
    </row>
    <row r="1114" ht="22.5" customHeight="1">
      <c r="A1114" s="8"/>
      <c r="B1114" s="9" t="str">
        <f t="shared" si="1"/>
        <v>Dec-1899</v>
      </c>
      <c r="C1114" s="10"/>
      <c r="D1114" s="11"/>
      <c r="E1114" s="25"/>
      <c r="F1114" s="21"/>
      <c r="G1114" s="14"/>
      <c r="H1114" s="15">
        <f t="shared" si="2"/>
        <v>0</v>
      </c>
      <c r="I1114" s="16">
        <f t="shared" si="3"/>
        <v>23349.59</v>
      </c>
    </row>
    <row r="1115" ht="22.5" customHeight="1">
      <c r="A1115" s="8"/>
      <c r="B1115" s="9" t="str">
        <f t="shared" si="1"/>
        <v>Dec-1899</v>
      </c>
      <c r="C1115" s="10"/>
      <c r="D1115" s="11"/>
      <c r="E1115" s="25"/>
      <c r="F1115" s="21"/>
      <c r="G1115" s="14"/>
      <c r="H1115" s="15">
        <f t="shared" si="2"/>
        <v>0</v>
      </c>
      <c r="I1115" s="16">
        <f t="shared" si="3"/>
        <v>23349.59</v>
      </c>
    </row>
    <row r="1116" ht="22.5" customHeight="1">
      <c r="A1116" s="8"/>
      <c r="B1116" s="9" t="str">
        <f t="shared" si="1"/>
        <v>Dec-1899</v>
      </c>
      <c r="C1116" s="10"/>
      <c r="D1116" s="11"/>
      <c r="E1116" s="25"/>
      <c r="F1116" s="21"/>
      <c r="G1116" s="14"/>
      <c r="H1116" s="15">
        <f t="shared" si="2"/>
        <v>0</v>
      </c>
      <c r="I1116" s="16">
        <f t="shared" si="3"/>
        <v>23349.59</v>
      </c>
    </row>
    <row r="1117" ht="22.5" customHeight="1">
      <c r="A1117" s="8"/>
      <c r="B1117" s="9" t="str">
        <f t="shared" si="1"/>
        <v>Dec-1899</v>
      </c>
      <c r="C1117" s="10"/>
      <c r="D1117" s="11"/>
      <c r="E1117" s="25"/>
      <c r="F1117" s="21"/>
      <c r="G1117" s="14"/>
      <c r="H1117" s="15">
        <f t="shared" si="2"/>
        <v>0</v>
      </c>
      <c r="I1117" s="16">
        <f t="shared" si="3"/>
        <v>23349.59</v>
      </c>
    </row>
    <row r="1118" ht="22.5" customHeight="1">
      <c r="A1118" s="8"/>
      <c r="B1118" s="9" t="str">
        <f t="shared" si="1"/>
        <v>Dec-1899</v>
      </c>
      <c r="C1118" s="10"/>
      <c r="D1118" s="11"/>
      <c r="E1118" s="25"/>
      <c r="F1118" s="21"/>
      <c r="G1118" s="14"/>
      <c r="H1118" s="15">
        <f t="shared" si="2"/>
        <v>0</v>
      </c>
      <c r="I1118" s="16">
        <f t="shared" si="3"/>
        <v>23349.59</v>
      </c>
    </row>
    <row r="1119" ht="22.5" customHeight="1">
      <c r="A1119" s="8"/>
      <c r="B1119" s="9" t="str">
        <f t="shared" si="1"/>
        <v>Dec-1899</v>
      </c>
      <c r="C1119" s="10"/>
      <c r="D1119" s="11"/>
      <c r="E1119" s="25"/>
      <c r="F1119" s="21"/>
      <c r="G1119" s="14"/>
      <c r="H1119" s="15">
        <f t="shared" si="2"/>
        <v>0</v>
      </c>
      <c r="I1119" s="16">
        <f t="shared" si="3"/>
        <v>23349.59</v>
      </c>
    </row>
    <row r="1120" ht="22.5" customHeight="1">
      <c r="A1120" s="8"/>
      <c r="B1120" s="9" t="str">
        <f t="shared" si="1"/>
        <v>Dec-1899</v>
      </c>
      <c r="C1120" s="10"/>
      <c r="D1120" s="11"/>
      <c r="E1120" s="25"/>
      <c r="F1120" s="21"/>
      <c r="G1120" s="14"/>
      <c r="H1120" s="15">
        <f t="shared" si="2"/>
        <v>0</v>
      </c>
      <c r="I1120" s="16">
        <f t="shared" si="3"/>
        <v>23349.59</v>
      </c>
    </row>
    <row r="1121" ht="22.5" customHeight="1">
      <c r="A1121" s="8"/>
      <c r="B1121" s="9" t="str">
        <f t="shared" si="1"/>
        <v>Dec-1899</v>
      </c>
      <c r="C1121" s="10"/>
      <c r="D1121" s="11"/>
      <c r="E1121" s="25"/>
      <c r="F1121" s="21"/>
      <c r="G1121" s="14"/>
      <c r="H1121" s="15">
        <f t="shared" si="2"/>
        <v>0</v>
      </c>
      <c r="I1121" s="16">
        <f t="shared" si="3"/>
        <v>23349.59</v>
      </c>
    </row>
    <row r="1122" ht="22.5" customHeight="1">
      <c r="A1122" s="8"/>
      <c r="B1122" s="9" t="str">
        <f t="shared" si="1"/>
        <v>Dec-1899</v>
      </c>
      <c r="C1122" s="10"/>
      <c r="D1122" s="11"/>
      <c r="E1122" s="25"/>
      <c r="F1122" s="21"/>
      <c r="G1122" s="14"/>
      <c r="H1122" s="15">
        <f t="shared" si="2"/>
        <v>0</v>
      </c>
      <c r="I1122" s="16">
        <f t="shared" si="3"/>
        <v>23349.59</v>
      </c>
    </row>
    <row r="1123" ht="22.5" customHeight="1">
      <c r="A1123" s="8"/>
      <c r="B1123" s="9" t="str">
        <f t="shared" si="1"/>
        <v>Dec-1899</v>
      </c>
      <c r="C1123" s="10"/>
      <c r="D1123" s="11"/>
      <c r="E1123" s="25"/>
      <c r="F1123" s="21"/>
      <c r="G1123" s="14"/>
      <c r="H1123" s="15">
        <f t="shared" si="2"/>
        <v>0</v>
      </c>
      <c r="I1123" s="16">
        <f t="shared" si="3"/>
        <v>23349.59</v>
      </c>
    </row>
    <row r="1124" ht="22.5" customHeight="1">
      <c r="A1124" s="8"/>
      <c r="B1124" s="9" t="str">
        <f t="shared" si="1"/>
        <v>Dec-1899</v>
      </c>
      <c r="C1124" s="10"/>
      <c r="D1124" s="11"/>
      <c r="E1124" s="25"/>
      <c r="F1124" s="21"/>
      <c r="G1124" s="14"/>
      <c r="H1124" s="15">
        <f t="shared" si="2"/>
        <v>0</v>
      </c>
      <c r="I1124" s="16">
        <f t="shared" si="3"/>
        <v>23349.59</v>
      </c>
    </row>
    <row r="1125" ht="22.5" customHeight="1">
      <c r="A1125" s="8"/>
      <c r="B1125" s="9" t="str">
        <f t="shared" si="1"/>
        <v>Dec-1899</v>
      </c>
      <c r="C1125" s="10"/>
      <c r="D1125" s="11"/>
      <c r="E1125" s="25"/>
      <c r="F1125" s="21"/>
      <c r="G1125" s="14"/>
      <c r="H1125" s="15">
        <f t="shared" si="2"/>
        <v>0</v>
      </c>
      <c r="I1125" s="16">
        <f t="shared" si="3"/>
        <v>23349.59</v>
      </c>
    </row>
    <row r="1126" ht="22.5" customHeight="1">
      <c r="A1126" s="8"/>
      <c r="B1126" s="9" t="str">
        <f t="shared" si="1"/>
        <v>Dec-1899</v>
      </c>
      <c r="C1126" s="10"/>
      <c r="D1126" s="11"/>
      <c r="E1126" s="25"/>
      <c r="F1126" s="21"/>
      <c r="G1126" s="14"/>
      <c r="H1126" s="15">
        <f t="shared" si="2"/>
        <v>0</v>
      </c>
      <c r="I1126" s="16">
        <f t="shared" si="3"/>
        <v>23349.59</v>
      </c>
    </row>
    <row r="1127" ht="22.5" customHeight="1">
      <c r="A1127" s="8"/>
      <c r="B1127" s="9" t="str">
        <f t="shared" si="1"/>
        <v>Dec-1899</v>
      </c>
      <c r="C1127" s="10"/>
      <c r="D1127" s="11"/>
      <c r="E1127" s="25"/>
      <c r="F1127" s="21"/>
      <c r="G1127" s="14"/>
      <c r="H1127" s="15">
        <f t="shared" si="2"/>
        <v>0</v>
      </c>
      <c r="I1127" s="16">
        <f t="shared" si="3"/>
        <v>23349.59</v>
      </c>
    </row>
    <row r="1128" ht="22.5" customHeight="1">
      <c r="A1128" s="8"/>
      <c r="B1128" s="9" t="str">
        <f t="shared" si="1"/>
        <v>Dec-1899</v>
      </c>
      <c r="C1128" s="10"/>
      <c r="D1128" s="11"/>
      <c r="E1128" s="25"/>
      <c r="F1128" s="21"/>
      <c r="G1128" s="14"/>
      <c r="H1128" s="15">
        <f t="shared" si="2"/>
        <v>0</v>
      </c>
      <c r="I1128" s="16">
        <f t="shared" si="3"/>
        <v>23349.59</v>
      </c>
    </row>
    <row r="1129" ht="22.5" customHeight="1">
      <c r="A1129" s="8"/>
      <c r="B1129" s="9" t="str">
        <f t="shared" si="1"/>
        <v>Dec-1899</v>
      </c>
      <c r="C1129" s="10"/>
      <c r="D1129" s="11"/>
      <c r="E1129" s="25"/>
      <c r="F1129" s="21"/>
      <c r="G1129" s="14"/>
      <c r="H1129" s="15">
        <f t="shared" si="2"/>
        <v>0</v>
      </c>
      <c r="I1129" s="16">
        <f t="shared" si="3"/>
        <v>23349.59</v>
      </c>
    </row>
    <row r="1130" ht="22.5" customHeight="1">
      <c r="A1130" s="8"/>
      <c r="B1130" s="9" t="str">
        <f t="shared" si="1"/>
        <v>Dec-1899</v>
      </c>
      <c r="C1130" s="10"/>
      <c r="D1130" s="11"/>
      <c r="E1130" s="25"/>
      <c r="F1130" s="21"/>
      <c r="G1130" s="14"/>
      <c r="H1130" s="15">
        <f t="shared" si="2"/>
        <v>0</v>
      </c>
      <c r="I1130" s="16">
        <f t="shared" si="3"/>
        <v>23349.59</v>
      </c>
    </row>
    <row r="1131" ht="22.5" customHeight="1">
      <c r="A1131" s="8"/>
      <c r="B1131" s="9" t="str">
        <f t="shared" si="1"/>
        <v>Dec-1899</v>
      </c>
      <c r="C1131" s="10"/>
      <c r="D1131" s="11"/>
      <c r="E1131" s="25"/>
      <c r="F1131" s="21"/>
      <c r="G1131" s="14"/>
      <c r="H1131" s="15">
        <f t="shared" si="2"/>
        <v>0</v>
      </c>
      <c r="I1131" s="16">
        <f t="shared" si="3"/>
        <v>23349.59</v>
      </c>
    </row>
    <row r="1132" ht="22.5" customHeight="1">
      <c r="A1132" s="8"/>
      <c r="B1132" s="9" t="str">
        <f t="shared" si="1"/>
        <v>Dec-1899</v>
      </c>
      <c r="C1132" s="10"/>
      <c r="D1132" s="11"/>
      <c r="E1132" s="25"/>
      <c r="F1132" s="21"/>
      <c r="G1132" s="14"/>
      <c r="H1132" s="15">
        <f t="shared" si="2"/>
        <v>0</v>
      </c>
      <c r="I1132" s="16">
        <f t="shared" si="3"/>
        <v>23349.59</v>
      </c>
    </row>
    <row r="1133" ht="22.5" customHeight="1">
      <c r="A1133" s="8"/>
      <c r="B1133" s="9" t="str">
        <f t="shared" si="1"/>
        <v>Dec-1899</v>
      </c>
      <c r="C1133" s="10"/>
      <c r="D1133" s="11"/>
      <c r="E1133" s="25"/>
      <c r="F1133" s="21"/>
      <c r="G1133" s="14"/>
      <c r="H1133" s="15">
        <f t="shared" si="2"/>
        <v>0</v>
      </c>
      <c r="I1133" s="16">
        <f t="shared" si="3"/>
        <v>23349.59</v>
      </c>
    </row>
    <row r="1134" ht="22.5" customHeight="1">
      <c r="A1134" s="8"/>
      <c r="B1134" s="9" t="str">
        <f t="shared" si="1"/>
        <v>Dec-1899</v>
      </c>
      <c r="C1134" s="10"/>
      <c r="D1134" s="11"/>
      <c r="E1134" s="25"/>
      <c r="F1134" s="21"/>
      <c r="G1134" s="14"/>
      <c r="H1134" s="15">
        <f t="shared" si="2"/>
        <v>0</v>
      </c>
      <c r="I1134" s="16">
        <f t="shared" si="3"/>
        <v>23349.59</v>
      </c>
    </row>
    <row r="1135" ht="22.5" customHeight="1">
      <c r="A1135" s="8"/>
      <c r="B1135" s="9" t="str">
        <f t="shared" si="1"/>
        <v>Dec-1899</v>
      </c>
      <c r="C1135" s="10"/>
      <c r="D1135" s="11"/>
      <c r="E1135" s="25"/>
      <c r="F1135" s="21"/>
      <c r="G1135" s="14"/>
      <c r="H1135" s="15">
        <f t="shared" si="2"/>
        <v>0</v>
      </c>
      <c r="I1135" s="16">
        <f t="shared" si="3"/>
        <v>23349.59</v>
      </c>
    </row>
    <row r="1136" ht="22.5" customHeight="1">
      <c r="A1136" s="8"/>
      <c r="B1136" s="9" t="str">
        <f t="shared" si="1"/>
        <v>Dec-1899</v>
      </c>
      <c r="C1136" s="10"/>
      <c r="D1136" s="11"/>
      <c r="E1136" s="25"/>
      <c r="F1136" s="21"/>
      <c r="G1136" s="14"/>
      <c r="H1136" s="15">
        <f t="shared" si="2"/>
        <v>0</v>
      </c>
      <c r="I1136" s="16">
        <f t="shared" si="3"/>
        <v>23349.59</v>
      </c>
    </row>
    <row r="1137" ht="22.5" customHeight="1">
      <c r="A1137" s="8"/>
      <c r="B1137" s="9" t="str">
        <f t="shared" si="1"/>
        <v>Dec-1899</v>
      </c>
      <c r="C1137" s="10"/>
      <c r="D1137" s="11"/>
      <c r="E1137" s="25"/>
      <c r="F1137" s="21"/>
      <c r="G1137" s="14"/>
      <c r="H1137" s="15">
        <f t="shared" si="2"/>
        <v>0</v>
      </c>
      <c r="I1137" s="16">
        <f t="shared" si="3"/>
        <v>23349.59</v>
      </c>
    </row>
    <row r="1138" ht="22.5" customHeight="1">
      <c r="A1138" s="8"/>
      <c r="B1138" s="9" t="str">
        <f t="shared" si="1"/>
        <v>Dec-1899</v>
      </c>
      <c r="C1138" s="10"/>
      <c r="D1138" s="11"/>
      <c r="E1138" s="25"/>
      <c r="F1138" s="21"/>
      <c r="G1138" s="14"/>
      <c r="H1138" s="15">
        <f t="shared" si="2"/>
        <v>0</v>
      </c>
      <c r="I1138" s="16">
        <f t="shared" si="3"/>
        <v>23349.59</v>
      </c>
    </row>
    <row r="1139" ht="22.5" customHeight="1">
      <c r="A1139" s="8"/>
      <c r="B1139" s="9" t="str">
        <f t="shared" si="1"/>
        <v>Dec-1899</v>
      </c>
      <c r="C1139" s="10"/>
      <c r="D1139" s="11"/>
      <c r="E1139" s="25"/>
      <c r="F1139" s="21"/>
      <c r="G1139" s="14"/>
      <c r="H1139" s="15">
        <f t="shared" si="2"/>
        <v>0</v>
      </c>
      <c r="I1139" s="16">
        <f t="shared" si="3"/>
        <v>23349.59</v>
      </c>
    </row>
    <row r="1140" ht="22.5" customHeight="1">
      <c r="A1140" s="8"/>
      <c r="B1140" s="9" t="str">
        <f t="shared" si="1"/>
        <v>Dec-1899</v>
      </c>
      <c r="C1140" s="10"/>
      <c r="D1140" s="11"/>
      <c r="E1140" s="25"/>
      <c r="F1140" s="21"/>
      <c r="G1140" s="14"/>
      <c r="H1140" s="15">
        <f t="shared" si="2"/>
        <v>0</v>
      </c>
      <c r="I1140" s="16">
        <f t="shared" si="3"/>
        <v>23349.59</v>
      </c>
    </row>
    <row r="1141" ht="22.5" customHeight="1">
      <c r="A1141" s="8"/>
      <c r="B1141" s="9" t="str">
        <f t="shared" si="1"/>
        <v>Dec-1899</v>
      </c>
      <c r="C1141" s="10"/>
      <c r="D1141" s="11"/>
      <c r="E1141" s="25"/>
      <c r="F1141" s="21"/>
      <c r="G1141" s="14"/>
      <c r="H1141" s="15">
        <f t="shared" si="2"/>
        <v>0</v>
      </c>
      <c r="I1141" s="16">
        <f t="shared" si="3"/>
        <v>23349.59</v>
      </c>
    </row>
    <row r="1142" ht="22.5" customHeight="1">
      <c r="A1142" s="8"/>
      <c r="B1142" s="9" t="str">
        <f t="shared" si="1"/>
        <v>Dec-1899</v>
      </c>
      <c r="C1142" s="10"/>
      <c r="D1142" s="11"/>
      <c r="E1142" s="25"/>
      <c r="F1142" s="21"/>
      <c r="G1142" s="14"/>
      <c r="H1142" s="15">
        <f t="shared" si="2"/>
        <v>0</v>
      </c>
      <c r="I1142" s="16">
        <f t="shared" si="3"/>
        <v>23349.59</v>
      </c>
    </row>
    <row r="1143" ht="22.5" customHeight="1">
      <c r="A1143" s="8"/>
      <c r="B1143" s="9" t="str">
        <f t="shared" si="1"/>
        <v>Dec-1899</v>
      </c>
      <c r="C1143" s="10"/>
      <c r="D1143" s="11"/>
      <c r="E1143" s="25"/>
      <c r="F1143" s="21"/>
      <c r="G1143" s="14"/>
      <c r="H1143" s="15">
        <f t="shared" si="2"/>
        <v>0</v>
      </c>
      <c r="I1143" s="16">
        <f t="shared" si="3"/>
        <v>23349.59</v>
      </c>
    </row>
    <row r="1144" ht="22.5" customHeight="1">
      <c r="A1144" s="8"/>
      <c r="B1144" s="9" t="str">
        <f t="shared" si="1"/>
        <v>Dec-1899</v>
      </c>
      <c r="C1144" s="10"/>
      <c r="D1144" s="11"/>
      <c r="E1144" s="25"/>
      <c r="F1144" s="21"/>
      <c r="G1144" s="14"/>
      <c r="H1144" s="15">
        <f t="shared" si="2"/>
        <v>0</v>
      </c>
      <c r="I1144" s="16">
        <f t="shared" si="3"/>
        <v>23349.59</v>
      </c>
    </row>
    <row r="1145" ht="22.5" customHeight="1">
      <c r="A1145" s="8"/>
      <c r="B1145" s="9" t="str">
        <f t="shared" si="1"/>
        <v>Dec-1899</v>
      </c>
      <c r="C1145" s="10"/>
      <c r="D1145" s="11"/>
      <c r="E1145" s="25"/>
      <c r="F1145" s="21"/>
      <c r="G1145" s="14"/>
      <c r="H1145" s="15">
        <f t="shared" si="2"/>
        <v>0</v>
      </c>
      <c r="I1145" s="16">
        <f t="shared" si="3"/>
        <v>23349.59</v>
      </c>
    </row>
    <row r="1146" ht="22.5" customHeight="1">
      <c r="A1146" s="8"/>
      <c r="B1146" s="9" t="str">
        <f t="shared" si="1"/>
        <v>Dec-1899</v>
      </c>
      <c r="C1146" s="10"/>
      <c r="D1146" s="11"/>
      <c r="E1146" s="25"/>
      <c r="F1146" s="21"/>
      <c r="G1146" s="14"/>
      <c r="H1146" s="15">
        <f t="shared" si="2"/>
        <v>0</v>
      </c>
      <c r="I1146" s="16">
        <f t="shared" si="3"/>
        <v>23349.59</v>
      </c>
    </row>
    <row r="1147" ht="22.5" customHeight="1">
      <c r="A1147" s="8"/>
      <c r="B1147" s="9" t="str">
        <f t="shared" si="1"/>
        <v>Dec-1899</v>
      </c>
      <c r="C1147" s="10"/>
      <c r="D1147" s="11"/>
      <c r="E1147" s="25"/>
      <c r="F1147" s="21"/>
      <c r="G1147" s="14"/>
      <c r="H1147" s="15">
        <f t="shared" si="2"/>
        <v>0</v>
      </c>
      <c r="I1147" s="16">
        <f t="shared" si="3"/>
        <v>23349.59</v>
      </c>
    </row>
    <row r="1148" ht="22.5" customHeight="1">
      <c r="A1148" s="8"/>
      <c r="B1148" s="9" t="str">
        <f t="shared" si="1"/>
        <v>Dec-1899</v>
      </c>
      <c r="C1148" s="10"/>
      <c r="D1148" s="11"/>
      <c r="E1148" s="25"/>
      <c r="F1148" s="21"/>
      <c r="G1148" s="14"/>
      <c r="H1148" s="15">
        <f t="shared" si="2"/>
        <v>0</v>
      </c>
      <c r="I1148" s="16">
        <f t="shared" si="3"/>
        <v>23349.59</v>
      </c>
    </row>
    <row r="1149" ht="22.5" customHeight="1">
      <c r="A1149" s="8"/>
      <c r="B1149" s="9" t="str">
        <f t="shared" si="1"/>
        <v>Dec-1899</v>
      </c>
      <c r="C1149" s="10"/>
      <c r="D1149" s="11"/>
      <c r="E1149" s="25"/>
      <c r="F1149" s="21"/>
      <c r="G1149" s="14"/>
      <c r="H1149" s="15">
        <f t="shared" si="2"/>
        <v>0</v>
      </c>
      <c r="I1149" s="16">
        <f t="shared" si="3"/>
        <v>23349.59</v>
      </c>
    </row>
    <row r="1150" ht="22.5" customHeight="1">
      <c r="A1150" s="8"/>
      <c r="B1150" s="9" t="str">
        <f t="shared" si="1"/>
        <v>Dec-1899</v>
      </c>
      <c r="C1150" s="10"/>
      <c r="D1150" s="11"/>
      <c r="E1150" s="25"/>
      <c r="F1150" s="21"/>
      <c r="G1150" s="14"/>
      <c r="H1150" s="15">
        <f t="shared" si="2"/>
        <v>0</v>
      </c>
      <c r="I1150" s="16">
        <f t="shared" si="3"/>
        <v>23349.59</v>
      </c>
    </row>
    <row r="1151" ht="22.5" customHeight="1">
      <c r="A1151" s="8"/>
      <c r="B1151" s="9" t="str">
        <f t="shared" si="1"/>
        <v>Dec-1899</v>
      </c>
      <c r="C1151" s="10"/>
      <c r="D1151" s="11"/>
      <c r="E1151" s="25"/>
      <c r="F1151" s="21"/>
      <c r="G1151" s="14"/>
      <c r="H1151" s="15">
        <f t="shared" si="2"/>
        <v>0</v>
      </c>
      <c r="I1151" s="16">
        <f t="shared" si="3"/>
        <v>23349.59</v>
      </c>
    </row>
    <row r="1152" ht="22.5" customHeight="1">
      <c r="A1152" s="8"/>
      <c r="B1152" s="9" t="str">
        <f t="shared" si="1"/>
        <v>Dec-1899</v>
      </c>
      <c r="C1152" s="10"/>
      <c r="D1152" s="11"/>
      <c r="E1152" s="25"/>
      <c r="F1152" s="21"/>
      <c r="G1152" s="14"/>
      <c r="H1152" s="15">
        <f t="shared" si="2"/>
        <v>0</v>
      </c>
      <c r="I1152" s="16">
        <f t="shared" si="3"/>
        <v>23349.59</v>
      </c>
    </row>
    <row r="1153" ht="22.5" customHeight="1">
      <c r="A1153" s="8"/>
      <c r="B1153" s="9" t="str">
        <f t="shared" si="1"/>
        <v>Dec-1899</v>
      </c>
      <c r="C1153" s="10"/>
      <c r="D1153" s="11"/>
      <c r="E1153" s="25"/>
      <c r="F1153" s="21"/>
      <c r="G1153" s="14"/>
      <c r="H1153" s="15">
        <f t="shared" si="2"/>
        <v>0</v>
      </c>
      <c r="I1153" s="16">
        <f t="shared" si="3"/>
        <v>23349.59</v>
      </c>
    </row>
    <row r="1154" ht="22.5" customHeight="1">
      <c r="A1154" s="8"/>
      <c r="B1154" s="9" t="str">
        <f t="shared" si="1"/>
        <v>Dec-1899</v>
      </c>
      <c r="C1154" s="10"/>
      <c r="D1154" s="11"/>
      <c r="E1154" s="25"/>
      <c r="F1154" s="21"/>
      <c r="G1154" s="14"/>
      <c r="H1154" s="15">
        <f t="shared" si="2"/>
        <v>0</v>
      </c>
      <c r="I1154" s="16">
        <f t="shared" si="3"/>
        <v>23349.59</v>
      </c>
    </row>
    <row r="1155" ht="22.5" customHeight="1">
      <c r="A1155" s="8"/>
      <c r="B1155" s="9" t="str">
        <f t="shared" si="1"/>
        <v>Dec-1899</v>
      </c>
      <c r="C1155" s="10"/>
      <c r="D1155" s="11"/>
      <c r="E1155" s="25"/>
      <c r="F1155" s="21"/>
      <c r="G1155" s="14"/>
      <c r="H1155" s="15">
        <f t="shared" si="2"/>
        <v>0</v>
      </c>
      <c r="I1155" s="16">
        <f t="shared" si="3"/>
        <v>23349.59</v>
      </c>
    </row>
    <row r="1156" ht="22.5" customHeight="1">
      <c r="A1156" s="8"/>
      <c r="B1156" s="9" t="str">
        <f t="shared" si="1"/>
        <v>Dec-1899</v>
      </c>
      <c r="C1156" s="10"/>
      <c r="D1156" s="11"/>
      <c r="E1156" s="25"/>
      <c r="F1156" s="21"/>
      <c r="G1156" s="14"/>
      <c r="H1156" s="15">
        <f t="shared" si="2"/>
        <v>0</v>
      </c>
      <c r="I1156" s="16">
        <f t="shared" si="3"/>
        <v>23349.59</v>
      </c>
    </row>
    <row r="1157" ht="22.5" customHeight="1">
      <c r="A1157" s="8"/>
      <c r="B1157" s="9" t="str">
        <f t="shared" si="1"/>
        <v>Dec-1899</v>
      </c>
      <c r="C1157" s="10"/>
      <c r="D1157" s="11"/>
      <c r="E1157" s="25"/>
      <c r="F1157" s="21"/>
      <c r="G1157" s="14"/>
      <c r="H1157" s="15">
        <f t="shared" si="2"/>
        <v>0</v>
      </c>
      <c r="I1157" s="16">
        <f t="shared" si="3"/>
        <v>23349.59</v>
      </c>
    </row>
    <row r="1158" ht="22.5" customHeight="1">
      <c r="A1158" s="8"/>
      <c r="B1158" s="9" t="str">
        <f t="shared" si="1"/>
        <v>Dec-1899</v>
      </c>
      <c r="C1158" s="10"/>
      <c r="D1158" s="11"/>
      <c r="E1158" s="25"/>
      <c r="F1158" s="21"/>
      <c r="G1158" s="14"/>
      <c r="H1158" s="15">
        <f t="shared" si="2"/>
        <v>0</v>
      </c>
      <c r="I1158" s="16">
        <f t="shared" si="3"/>
        <v>23349.59</v>
      </c>
    </row>
  </sheetData>
  <dataValidations>
    <dataValidation type="custom" allowBlank="1" showDropDown="1" sqref="A3:A1158">
      <formula1>OR(NOT(ISERROR(DATEVALUE(A3))), AND(ISNUMBER(A3), LEFT(CELL("format", A3))="D"))</formula1>
    </dataValidation>
    <dataValidation type="list" allowBlank="1" showErrorMessage="1" sqref="D3:D1158">
      <formula1>Setup!$A$5:$A$13</formula1>
    </dataValidation>
    <dataValidation type="custom" allowBlank="1" showDropDown="1" sqref="F3:I1158">
      <formula1>AND(ISNUMBER(F3),(NOT(OR(NOT(ISERROR(DATEVALUE(F3))), AND(ISNUMBER(F3), LEFT(CELL("format", F3))="D")))))</formula1>
    </dataValidation>
    <dataValidation type="list" allowBlank="1" sqref="E3:E1158">
      <formula1>#REF!</formula1>
    </dataValidation>
  </dataValidations>
  <hyperlinks>
    <hyperlink r:id="rId1" ref="C92"/>
    <hyperlink r:id="rId2" ref="C93"/>
    <hyperlink r:id="rId3" ref="C117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5.38"/>
    <col customWidth="1" min="3" max="3" width="17.25"/>
    <col customWidth="1" min="4" max="4" width="21.38"/>
    <col customWidth="1" min="5" max="5" width="21.13"/>
  </cols>
  <sheetData>
    <row r="1">
      <c r="A1" s="2"/>
      <c r="B1" s="2"/>
      <c r="C1" s="2"/>
      <c r="D1" s="2"/>
      <c r="E1" s="4">
        <f>SUM(Table1[Amount])</f>
        <v>6790.59</v>
      </c>
    </row>
    <row r="2" ht="22.5" customHeight="1">
      <c r="A2" s="6" t="s">
        <v>0</v>
      </c>
      <c r="B2" s="6" t="s">
        <v>2</v>
      </c>
      <c r="C2" s="6" t="s">
        <v>3</v>
      </c>
      <c r="D2" s="6" t="s">
        <v>247</v>
      </c>
      <c r="E2" s="6" t="s">
        <v>8</v>
      </c>
    </row>
    <row r="3" ht="22.5" customHeight="1">
      <c r="A3" s="26">
        <f>IFERROR(__xludf.DUMMYFUNCTION("FILTER(Transactions!A:A, Transactions!E:E=""HDFC Bank"")"),45992.0)</f>
        <v>45992</v>
      </c>
      <c r="B3" s="27" t="str">
        <f>IFERROR(__xludf.DUMMYFUNCTION("FILTER(Transactions!C:C, Transactions!E:E=""HDFC Bank"")"),"POS 406584XXXXXX4354 PZ HDFC CC BILLP")</f>
        <v>POS 406584XXXXXX4354 PZ HDFC CC BILLP</v>
      </c>
      <c r="C3" s="28" t="str">
        <f>IFERROR(__xludf.DUMMYFUNCTION("FILTER(Transactions!D:D, Transactions!E:E=""HDFC Bank"")"),"Credit Card Expense")</f>
        <v>Credit Card Expense</v>
      </c>
      <c r="D3" s="15">
        <f>IFERROR(__xludf.DUMMYFUNCTION("FILTER(Transactions!H:H, Transactions!E:E=""HDFC Bank"")"),-7800.0)</f>
        <v>-7800</v>
      </c>
      <c r="E3" s="15">
        <f t="shared" ref="E3:E562" si="1">SUM($D$3:D3)</f>
        <v>-7800</v>
      </c>
    </row>
    <row r="4" ht="22.5" customHeight="1">
      <c r="A4" s="26">
        <f>IFERROR(__xludf.DUMMYFUNCTION("""COMPUTED_VALUE"""),45992.0)</f>
        <v>45992</v>
      </c>
      <c r="B4" s="27" t="str">
        <f>IFERROR(__xludf.DUMMYFUNCTION("""COMPUTED_VALUE"""),"POS 406584XXXXXX4354 PZ HDFC CC BILLP")</f>
        <v>POS 406584XXXXXX4354 PZ HDFC CC BILLP</v>
      </c>
      <c r="C4" s="28" t="str">
        <f>IFERROR(__xludf.DUMMYFUNCTION("""COMPUTED_VALUE"""),"Credit Card Expense")</f>
        <v>Credit Card Expense</v>
      </c>
      <c r="D4" s="15">
        <f>IFERROR(__xludf.DUMMYFUNCTION("""COMPUTED_VALUE"""),-10.0)</f>
        <v>-10</v>
      </c>
      <c r="E4" s="15">
        <f t="shared" si="1"/>
        <v>-7810</v>
      </c>
    </row>
    <row r="5" ht="22.5" customHeight="1">
      <c r="A5" s="26">
        <f>IFERROR(__xludf.DUMMYFUNCTION("""COMPUTED_VALUE"""),45992.0)</f>
        <v>45992</v>
      </c>
      <c r="B5" s="27" t="str">
        <f>IFERROR(__xludf.DUMMYFUNCTION("""COMPUTED_VALUE"""),"NET PAYIN TO NSE MF A/C -57500001396612- UCC -6960363-453350475073-57500001396612")</f>
        <v>NET PAYIN TO NSE MF A/C -57500001396612- UCC -6960363-453350475073-57500001396612</v>
      </c>
      <c r="C5" s="28" t="str">
        <f>IFERROR(__xludf.DUMMYFUNCTION("""COMPUTED_VALUE"""),"Demat ")</f>
        <v>Demat </v>
      </c>
      <c r="D5" s="15">
        <f>IFERROR(__xludf.DUMMYFUNCTION("""COMPUTED_VALUE"""),-500.0)</f>
        <v>-500</v>
      </c>
      <c r="E5" s="15">
        <f t="shared" si="1"/>
        <v>-8310</v>
      </c>
    </row>
    <row r="6" ht="22.5" customHeight="1">
      <c r="A6" s="26">
        <f>IFERROR(__xludf.DUMMYFUNCTION("""COMPUTED_VALUE"""),45992.0)</f>
        <v>45992</v>
      </c>
      <c r="B6" s="27" t="str">
        <f>IFERROR(__xludf.DUMMYFUNCTION("""COMPUTED_VALUE"""),"UPI-LITE-01081460007245-533500208269-ADD MONEY")</f>
        <v>UPI-LITE-01081460007245-533500208269-ADD MONEY</v>
      </c>
      <c r="C6" s="28" t="str">
        <f>IFERROR(__xludf.DUMMYFUNCTION("""COMPUTED_VALUE"""),"Living Expense")</f>
        <v>Living Expense</v>
      </c>
      <c r="D6" s="15">
        <f>IFERROR(__xludf.DUMMYFUNCTION("""COMPUTED_VALUE"""),-1.0)</f>
        <v>-1</v>
      </c>
      <c r="E6" s="15">
        <f t="shared" si="1"/>
        <v>-8311</v>
      </c>
    </row>
    <row r="7" ht="22.5" customHeight="1">
      <c r="A7" s="26">
        <f>IFERROR(__xludf.DUMMYFUNCTION("""COMPUTED_VALUE"""),45992.0)</f>
        <v>45992</v>
      </c>
      <c r="B7" s="27" t="str">
        <f>IFERROR(__xludf.DUMMYFUNCTION("""COMPUTED_VALUE"""),"Previous Balance Carry Over")</f>
        <v>Previous Balance Carry Over</v>
      </c>
      <c r="C7" s="28" t="str">
        <f>IFERROR(__xludf.DUMMYFUNCTION("""COMPUTED_VALUE"""),"Salary Credit")</f>
        <v>Salary Credit</v>
      </c>
      <c r="D7" s="15">
        <f>IFERROR(__xludf.DUMMYFUNCTION("""COMPUTED_VALUE"""),70664.09)</f>
        <v>70664.09</v>
      </c>
      <c r="E7" s="15">
        <f t="shared" si="1"/>
        <v>62353.09</v>
      </c>
    </row>
    <row r="8" ht="22.5" customHeight="1">
      <c r="A8" s="26">
        <f>IFERROR(__xludf.DUMMYFUNCTION("""COMPUTED_VALUE"""),45993.0)</f>
        <v>45993</v>
      </c>
      <c r="B8" s="27" t="str">
        <f>IFERROR(__xludf.DUMMYFUNCTION("""COMPUTED_VALUE"""),"POS 406584XXXXXX4354 PZ HDFC CC BILLP")</f>
        <v>POS 406584XXXXXX4354 PZ HDFC CC BILLP</v>
      </c>
      <c r="C8" s="28" t="str">
        <f>IFERROR(__xludf.DUMMYFUNCTION("""COMPUTED_VALUE"""),"Credit Card Expense")</f>
        <v>Credit Card Expense</v>
      </c>
      <c r="D8" s="15">
        <f>IFERROR(__xludf.DUMMYFUNCTION("""COMPUTED_VALUE"""),-3729.67)</f>
        <v>-3729.67</v>
      </c>
      <c r="E8" s="15">
        <f t="shared" si="1"/>
        <v>58623.42</v>
      </c>
    </row>
    <row r="9" ht="22.5" customHeight="1">
      <c r="A9" s="26">
        <f>IFERROR(__xludf.DUMMYFUNCTION("""COMPUTED_VALUE"""),45993.0)</f>
        <v>45993</v>
      </c>
      <c r="B9" s="27" t="str">
        <f>IFERROR(__xludf.DUMMYFUNCTION("""COMPUTED_VALUE"""),"POS 406584XXXXXX4354 PZ HDFC CC BILLP")</f>
        <v>POS 406584XXXXXX4354 PZ HDFC CC BILLP</v>
      </c>
      <c r="C9" s="28" t="str">
        <f>IFERROR(__xludf.DUMMYFUNCTION("""COMPUTED_VALUE"""),"Credit Card Expense")</f>
        <v>Credit Card Expense</v>
      </c>
      <c r="D9" s="15">
        <f>IFERROR(__xludf.DUMMYFUNCTION("""COMPUTED_VALUE"""),-90.0)</f>
        <v>-90</v>
      </c>
      <c r="E9" s="15">
        <f t="shared" si="1"/>
        <v>58533.42</v>
      </c>
    </row>
    <row r="10" ht="22.5" customHeight="1">
      <c r="A10" s="26">
        <f>IFERROR(__xludf.DUMMYFUNCTION("""COMPUTED_VALUE"""),45993.0)</f>
        <v>45993</v>
      </c>
      <c r="B10" s="27" t="str">
        <f>IFERROR(__xludf.DUMMYFUNCTION("""COMPUTED_VALUE"""),"JULSEP25 INSTAALERTCHG 79 SMS 031025-MIR2633599445087")</f>
        <v>JULSEP25 INSTAALERTCHG 79 SMS 031025-MIR2633599445087</v>
      </c>
      <c r="C10" s="28" t="str">
        <f>IFERROR(__xludf.DUMMYFUNCTION("""COMPUTED_VALUE"""),"Living Expense")</f>
        <v>Living Expense</v>
      </c>
      <c r="D10" s="15">
        <f>IFERROR(__xludf.DUMMYFUNCTION("""COMPUTED_VALUE"""),-18.64)</f>
        <v>-18.64</v>
      </c>
      <c r="E10" s="15">
        <f t="shared" si="1"/>
        <v>58514.78</v>
      </c>
    </row>
    <row r="11" ht="22.5" customHeight="1">
      <c r="A11" s="26">
        <f>IFERROR(__xludf.DUMMYFUNCTION("""COMPUTED_VALUE"""),45993.0)</f>
        <v>45993</v>
      </c>
      <c r="B11" s="27" t="str">
        <f>IFERROR(__xludf.DUMMYFUNCTION("""COMPUTED_VALUE"""),"CASH DEPOSIT-406584XXXXXX4354-PANCHKULA SECTOR 8 CHANDIGARH")</f>
        <v>CASH DEPOSIT-406584XXXXXX4354-PANCHKULA SECTOR 8 CHANDIGARH</v>
      </c>
      <c r="C11" s="28" t="str">
        <f>IFERROR(__xludf.DUMMYFUNCTION("""COMPUTED_VALUE"""),"Salary Credit")</f>
        <v>Salary Credit</v>
      </c>
      <c r="D11" s="15">
        <f>IFERROR(__xludf.DUMMYFUNCTION("""COMPUTED_VALUE"""),2500.0)</f>
        <v>2500</v>
      </c>
      <c r="E11" s="15">
        <f t="shared" si="1"/>
        <v>61014.78</v>
      </c>
    </row>
    <row r="12" ht="22.5" customHeight="1">
      <c r="A12" s="26">
        <f>IFERROR(__xludf.DUMMYFUNCTION("""COMPUTED_VALUE"""),45994.0)</f>
        <v>45994</v>
      </c>
      <c r="B12" s="27" t="str">
        <f>IFERROR(__xludf.DUMMYFUNCTION("""COMPUTED_VALUE"""),"NET PI TO HSL SEC A/C 6960363-00602340029444")</f>
        <v>NET PI TO HSL SEC A/C 6960363-00602340029444</v>
      </c>
      <c r="C12" s="28" t="str">
        <f>IFERROR(__xludf.DUMMYFUNCTION("""COMPUTED_VALUE"""),"Demat ")</f>
        <v>Demat </v>
      </c>
      <c r="D12" s="15">
        <f>IFERROR(__xludf.DUMMYFUNCTION("""COMPUTED_VALUE"""),-2147.13)</f>
        <v>-2147.13</v>
      </c>
      <c r="E12" s="15">
        <f t="shared" si="1"/>
        <v>58867.65</v>
      </c>
    </row>
    <row r="13" ht="22.5" customHeight="1">
      <c r="A13" s="26">
        <f>IFERROR(__xludf.DUMMYFUNCTION("""COMPUTED_VALUE"""),45995.0)</f>
        <v>45995</v>
      </c>
      <c r="B13" s="27" t="str">
        <f>IFERROR(__xludf.DUMMYFUNCTION("""COMPUTED_VALUE"""),"NET PI TO HSL SEC A/C 6960363-00602340029444")</f>
        <v>NET PI TO HSL SEC A/C 6960363-00602340029444</v>
      </c>
      <c r="C13" s="28" t="str">
        <f>IFERROR(__xludf.DUMMYFUNCTION("""COMPUTED_VALUE"""),"Demat ")</f>
        <v>Demat </v>
      </c>
      <c r="D13" s="15">
        <f>IFERROR(__xludf.DUMMYFUNCTION("""COMPUTED_VALUE"""),-419.19)</f>
        <v>-419.19</v>
      </c>
      <c r="E13" s="15">
        <f t="shared" si="1"/>
        <v>58448.46</v>
      </c>
    </row>
    <row r="14" ht="22.5" customHeight="1">
      <c r="A14" s="26">
        <f>IFERROR(__xludf.DUMMYFUNCTION("""COMPUTED_VALUE"""),45995.0)</f>
        <v>45995</v>
      </c>
      <c r="B14" s="27" t="str">
        <f>IFERROR(__xludf.DUMMYFUNCTION("""COMPUTED_VALUE"""),"IMPS-533898430699-API BANKING EB-NESF-XXXXXXXXXXXXXXXX6172-PAYOUT")</f>
        <v>IMPS-533898430699-API BANKING EB-NESF-XXXXXXXXXXXXXXXX6172-PAYOUT</v>
      </c>
      <c r="C14" s="28" t="str">
        <f>IFERROR(__xludf.DUMMYFUNCTION("""COMPUTED_VALUE"""),"Living Expense")</f>
        <v>Living Expense</v>
      </c>
      <c r="D14" s="15">
        <f>IFERROR(__xludf.DUMMYFUNCTION("""COMPUTED_VALUE"""),1.0)</f>
        <v>1</v>
      </c>
      <c r="E14" s="15">
        <f t="shared" si="1"/>
        <v>58449.46</v>
      </c>
    </row>
    <row r="15" ht="22.5" customHeight="1">
      <c r="A15" s="26">
        <f>IFERROR(__xludf.DUMMYFUNCTION("""COMPUTED_VALUE"""),45997.0)</f>
        <v>45997</v>
      </c>
      <c r="B15" s="27" t="str">
        <f>IFERROR(__xludf.DUMMYFUNCTION("""COMPUTED_VALUE"""),"POS 406584XXXXXX4354 PZ HDFC CC BILLP")</f>
        <v>POS 406584XXXXXX4354 PZ HDFC CC BILLP</v>
      </c>
      <c r="C15" s="28" t="str">
        <f>IFERROR(__xludf.DUMMYFUNCTION("""COMPUTED_VALUE"""),"Credit Card Expense")</f>
        <v>Credit Card Expense</v>
      </c>
      <c r="D15" s="15">
        <f>IFERROR(__xludf.DUMMYFUNCTION("""COMPUTED_VALUE"""),-637.0)</f>
        <v>-637</v>
      </c>
      <c r="E15" s="15">
        <f t="shared" si="1"/>
        <v>57812.46</v>
      </c>
    </row>
    <row r="16" ht="22.5" customHeight="1">
      <c r="A16" s="26">
        <f>IFERROR(__xludf.DUMMYFUNCTION("""COMPUTED_VALUE"""),45997.0)</f>
        <v>45997</v>
      </c>
      <c r="B16" s="27" t="str">
        <f>IFERROR(__xludf.DUMMYFUNCTION("""COMPUTED_VALUE"""),"UPI-CAPITAL GRAPHICS-CAPITAL17@ICICI-ICIC0DC0099-570640618530-UPI")</f>
        <v>UPI-CAPITAL GRAPHICS-CAPITAL17@ICICI-ICIC0DC0099-570640618530-UPI</v>
      </c>
      <c r="C16" s="28" t="str">
        <f>IFERROR(__xludf.DUMMYFUNCTION("""COMPUTED_VALUE"""),"Living Expense")</f>
        <v>Living Expense</v>
      </c>
      <c r="D16" s="15">
        <f>IFERROR(__xludf.DUMMYFUNCTION("""COMPUTED_VALUE"""),-3540.0)</f>
        <v>-3540</v>
      </c>
      <c r="E16" s="15">
        <f t="shared" si="1"/>
        <v>54272.46</v>
      </c>
    </row>
    <row r="17" ht="22.5" customHeight="1">
      <c r="A17" s="26">
        <f>IFERROR(__xludf.DUMMYFUNCTION("""COMPUTED_VALUE"""),45999.0)</f>
        <v>45999</v>
      </c>
      <c r="B17" s="27" t="str">
        <f>IFERROR(__xludf.DUMMYFUNCTION("""COMPUTED_VALUE"""),"POS 406584XXXXXX4354 PZ HDFC CC BILLP")</f>
        <v>POS 406584XXXXXX4354 PZ HDFC CC BILLP</v>
      </c>
      <c r="C17" s="28" t="str">
        <f>IFERROR(__xludf.DUMMYFUNCTION("""COMPUTED_VALUE"""),"Credit Card Expense")</f>
        <v>Credit Card Expense</v>
      </c>
      <c r="D17" s="15">
        <f>IFERROR(__xludf.DUMMYFUNCTION("""COMPUTED_VALUE"""),-260.33)</f>
        <v>-260.33</v>
      </c>
      <c r="E17" s="15">
        <f t="shared" si="1"/>
        <v>54012.13</v>
      </c>
    </row>
    <row r="18" ht="22.5" customHeight="1">
      <c r="A18" s="26">
        <f>IFERROR(__xludf.DUMMYFUNCTION("""COMPUTED_VALUE"""),45999.0)</f>
        <v>45999</v>
      </c>
      <c r="B18" s="27" t="str">
        <f>IFERROR(__xludf.DUMMYFUNCTION("""COMPUTED_VALUE"""),"POS 406584XXXXXX4354 PZ HDFC CC BILLP")</f>
        <v>POS 406584XXXXXX4354 PZ HDFC CC BILLP</v>
      </c>
      <c r="C18" s="28" t="str">
        <f>IFERROR(__xludf.DUMMYFUNCTION("""COMPUTED_VALUE"""),"Credit Card Expense")</f>
        <v>Credit Card Expense</v>
      </c>
      <c r="D18" s="15">
        <f>IFERROR(__xludf.DUMMYFUNCTION("""COMPUTED_VALUE"""),-377.0)</f>
        <v>-377</v>
      </c>
      <c r="E18" s="15">
        <f t="shared" si="1"/>
        <v>53635.13</v>
      </c>
    </row>
    <row r="19" ht="22.5" customHeight="1">
      <c r="A19" s="26">
        <f>IFERROR(__xludf.DUMMYFUNCTION("""COMPUTED_VALUE"""),45999.0)</f>
        <v>45999</v>
      </c>
      <c r="B19" s="27" t="str">
        <f>IFERROR(__xludf.DUMMYFUNCTION("""COMPUTED_VALUE"""),"NET PAYIN TO NSE MF A/C -57500001396612- UCC -6960363-453420707333-57500001396612")</f>
        <v>NET PAYIN TO NSE MF A/C -57500001396612- UCC -6960363-453420707333-57500001396612</v>
      </c>
      <c r="C19" s="28" t="str">
        <f>IFERROR(__xludf.DUMMYFUNCTION("""COMPUTED_VALUE"""),"Demat ")</f>
        <v>Demat </v>
      </c>
      <c r="D19" s="15">
        <f>IFERROR(__xludf.DUMMYFUNCTION("""COMPUTED_VALUE"""),-500.0)</f>
        <v>-500</v>
      </c>
      <c r="E19" s="15">
        <f t="shared" si="1"/>
        <v>53135.13</v>
      </c>
    </row>
    <row r="20" ht="22.5" customHeight="1">
      <c r="A20" s="26">
        <f>IFERROR(__xludf.DUMMYFUNCTION("""COMPUTED_VALUE"""),45999.0)</f>
        <v>45999</v>
      </c>
      <c r="B20" s="27" t="str">
        <f>IFERROR(__xludf.DUMMYFUNCTION("""COMPUTED_VALUE"""),"NET PI TO HSL SEC A/C 6960363-00602340029444")</f>
        <v>NET PI TO HSL SEC A/C 6960363-00602340029444</v>
      </c>
      <c r="C20" s="28" t="str">
        <f>IFERROR(__xludf.DUMMYFUNCTION("""COMPUTED_VALUE"""),"Demat ")</f>
        <v>Demat </v>
      </c>
      <c r="D20" s="15">
        <f>IFERROR(__xludf.DUMMYFUNCTION("""COMPUTED_VALUE"""),-855.53)</f>
        <v>-855.53</v>
      </c>
      <c r="E20" s="15">
        <f t="shared" si="1"/>
        <v>52279.6</v>
      </c>
    </row>
    <row r="21" ht="22.5" customHeight="1">
      <c r="A21" s="26">
        <f>IFERROR(__xludf.DUMMYFUNCTION("""COMPUTED_VALUE"""),45999.0)</f>
        <v>45999</v>
      </c>
      <c r="B21" s="27" t="str">
        <f>IFERROR(__xludf.DUMMYFUNCTION("""COMPUTED_VALUE"""),"UPI-AMAZON PAY-AMAZONPAY@APL-UTIB0000100-534243295249-REQUEST FROM AMAZO")</f>
        <v>UPI-AMAZON PAY-AMAZONPAY@APL-UTIB0000100-534243295249-REQUEST FROM AMAZO</v>
      </c>
      <c r="C21" s="28" t="str">
        <f>IFERROR(__xludf.DUMMYFUNCTION("""COMPUTED_VALUE"""),"Living Expense")</f>
        <v>Living Expense</v>
      </c>
      <c r="D21" s="15">
        <f>IFERROR(__xludf.DUMMYFUNCTION("""COMPUTED_VALUE"""),-176.89)</f>
        <v>-176.89</v>
      </c>
      <c r="E21" s="15">
        <f t="shared" si="1"/>
        <v>52102.71</v>
      </c>
    </row>
    <row r="22" ht="22.5" customHeight="1">
      <c r="A22" s="26">
        <f>IFERROR(__xludf.DUMMYFUNCTION("""COMPUTED_VALUE"""),45999.0)</f>
        <v>45999</v>
      </c>
      <c r="B22" s="27" t="str">
        <f>IFERROR(__xludf.DUMMYFUNCTION("""COMPUTED_VALUE"""),"NEFT CR-SBIN0005397-ELECON INDUSTRIES-SHASHANK AGARWAL JI-SBIN425342705114")</f>
        <v>NEFT CR-SBIN0005397-ELECON INDUSTRIES-SHASHANK AGARWAL JI-SBIN425342705114</v>
      </c>
      <c r="C22" s="28" t="str">
        <f>IFERROR(__xludf.DUMMYFUNCTION("""COMPUTED_VALUE"""),"Salary Credit")</f>
        <v>Salary Credit</v>
      </c>
      <c r="D22" s="15">
        <f>IFERROR(__xludf.DUMMYFUNCTION("""COMPUTED_VALUE"""),11340.0)</f>
        <v>11340</v>
      </c>
      <c r="E22" s="15">
        <f t="shared" si="1"/>
        <v>63442.71</v>
      </c>
    </row>
    <row r="23" ht="22.5" customHeight="1">
      <c r="A23" s="26">
        <f>IFERROR(__xludf.DUMMYFUNCTION("""COMPUTED_VALUE"""),46000.0)</f>
        <v>46000</v>
      </c>
      <c r="B23" s="27" t="str">
        <f>IFERROR(__xludf.DUMMYFUNCTION("""COMPUTED_VALUE"""),"NEFT CR-DBSS0IN0811-DB FUNDS PARKING ACCOUNT-SHASHANK AGARWAL-0811OP5165569171")</f>
        <v>NEFT CR-DBSS0IN0811-DB FUNDS PARKING ACCOUNT-SHASHANK AGARWAL-0811OP5165569171</v>
      </c>
      <c r="C23" s="28" t="str">
        <f>IFERROR(__xludf.DUMMYFUNCTION("""COMPUTED_VALUE"""),"Salary Credit")</f>
        <v>Salary Credit</v>
      </c>
      <c r="D23" s="15">
        <f>IFERROR(__xludf.DUMMYFUNCTION("""COMPUTED_VALUE"""),45.0)</f>
        <v>45</v>
      </c>
      <c r="E23" s="15">
        <f t="shared" si="1"/>
        <v>63487.71</v>
      </c>
    </row>
    <row r="24" ht="22.5" customHeight="1">
      <c r="A24" s="26">
        <f>IFERROR(__xludf.DUMMYFUNCTION("""COMPUTED_VALUE"""),46002.0)</f>
        <v>46002</v>
      </c>
      <c r="B24" s="27" t="str">
        <f>IFERROR(__xludf.DUMMYFUNCTION("""COMPUTED_VALUE"""),"POS 406584XXXXXX4354 PZ HDFC CC BILLP")</f>
        <v>POS 406584XXXXXX4354 PZ HDFC CC BILLP</v>
      </c>
      <c r="C24" s="28" t="str">
        <f>IFERROR(__xludf.DUMMYFUNCTION("""COMPUTED_VALUE"""),"Credit Card Expense")</f>
        <v>Credit Card Expense</v>
      </c>
      <c r="D24" s="15">
        <f>IFERROR(__xludf.DUMMYFUNCTION("""COMPUTED_VALUE"""),-451.08)</f>
        <v>-451.08</v>
      </c>
      <c r="E24" s="15">
        <f t="shared" si="1"/>
        <v>63036.63</v>
      </c>
    </row>
    <row r="25" ht="22.5" customHeight="1">
      <c r="A25" s="26">
        <f>IFERROR(__xludf.DUMMYFUNCTION("""COMPUTED_VALUE"""),46002.0)</f>
        <v>46002</v>
      </c>
      <c r="B25" s="27" t="str">
        <f>IFERROR(__xludf.DUMMYFUNCTION("""COMPUTED_VALUE"""),"POS 406584XXXXXX4354 PZ HDFC CC BILLP")</f>
        <v>POS 406584XXXXXX4354 PZ HDFC CC BILLP</v>
      </c>
      <c r="C25" s="28" t="str">
        <f>IFERROR(__xludf.DUMMYFUNCTION("""COMPUTED_VALUE"""),"Credit Card Expense")</f>
        <v>Credit Card Expense</v>
      </c>
      <c r="D25" s="15">
        <f>IFERROR(__xludf.DUMMYFUNCTION("""COMPUTED_VALUE"""),-160.36)</f>
        <v>-160.36</v>
      </c>
      <c r="E25" s="15">
        <f t="shared" si="1"/>
        <v>62876.27</v>
      </c>
    </row>
    <row r="26" ht="22.5" customHeight="1">
      <c r="A26" s="26">
        <f>IFERROR(__xludf.DUMMYFUNCTION("""COMPUTED_VALUE"""),46002.0)</f>
        <v>46002</v>
      </c>
      <c r="B26" s="27" t="str">
        <f>IFERROR(__xludf.DUMMYFUNCTION("""COMPUTED_VALUE"""),"IMPS-534511316243-ELECON AEROTECH PRIVATE LIMITED-SBIN-XXXXXXX6036-DIRECTOR FUND TRANSFER")</f>
        <v>IMPS-534511316243-ELECON AEROTECH PRIVATE LIMITED-SBIN-XXXXXXX6036-DIRECTOR FUND TRANSFER</v>
      </c>
      <c r="C26" s="28" t="str">
        <f>IFERROR(__xludf.DUMMYFUNCTION("""COMPUTED_VALUE"""),"StartUp Funding")</f>
        <v>StartUp Funding</v>
      </c>
      <c r="D26" s="15">
        <f>IFERROR(__xludf.DUMMYFUNCTION("""COMPUTED_VALUE"""),-50000.0)</f>
        <v>-50000</v>
      </c>
      <c r="E26" s="15">
        <f t="shared" si="1"/>
        <v>12876.27</v>
      </c>
    </row>
    <row r="27" ht="22.5" customHeight="1">
      <c r="A27" s="26">
        <f>IFERROR(__xludf.DUMMYFUNCTION("""COMPUTED_VALUE"""),46002.0)</f>
        <v>46002</v>
      </c>
      <c r="B27" s="27" t="str">
        <f>IFERROR(__xludf.DUMMYFUNCTION("""COMPUTED_VALUE"""),"IMPS-534512967075-ELECON AEROTECH PRIVATE LIMITED-SBIN-XXXXXXX6036-DIRECTOR TRANSFER")</f>
        <v>IMPS-534512967075-ELECON AEROTECH PRIVATE LIMITED-SBIN-XXXXXXX6036-DIRECTOR TRANSFER</v>
      </c>
      <c r="C27" s="28" t="str">
        <f>IFERROR(__xludf.DUMMYFUNCTION("""COMPUTED_VALUE"""),"StartUp Funding")</f>
        <v>StartUp Funding</v>
      </c>
      <c r="D27" s="15">
        <f>IFERROR(__xludf.DUMMYFUNCTION("""COMPUTED_VALUE"""),-80000.0)</f>
        <v>-80000</v>
      </c>
      <c r="E27" s="15">
        <f t="shared" si="1"/>
        <v>-67123.73</v>
      </c>
    </row>
    <row r="28" ht="22.5" customHeight="1">
      <c r="A28" s="26">
        <f>IFERROR(__xludf.DUMMYFUNCTION("""COMPUTED_VALUE"""),46002.0)</f>
        <v>46002</v>
      </c>
      <c r="B28" s="27" t="str">
        <f>IFERROR(__xludf.DUMMYFUNCTION("""COMPUTED_VALUE"""),"UPI-MANISH AGARWAL NEHA-MANISH.ELECON@OKAXIS-JAKA0PANCHK-571147092713-UPI")</f>
        <v>UPI-MANISH AGARWAL NEHA-MANISH.ELECON@OKAXIS-JAKA0PANCHK-571147092713-UPI</v>
      </c>
      <c r="C28" s="28" t="str">
        <f>IFERROR(__xludf.DUMMYFUNCTION("""COMPUTED_VALUE"""),"StartUp Funding")</f>
        <v>StartUp Funding</v>
      </c>
      <c r="D28" s="15">
        <f>IFERROR(__xludf.DUMMYFUNCTION("""COMPUTED_VALUE"""),80000.0)</f>
        <v>80000</v>
      </c>
      <c r="E28" s="15">
        <f t="shared" si="1"/>
        <v>12876.27</v>
      </c>
    </row>
    <row r="29" ht="22.5" customHeight="1">
      <c r="A29" s="26">
        <f>IFERROR(__xludf.DUMMYFUNCTION("""COMPUTED_VALUE"""),46004.0)</f>
        <v>46004</v>
      </c>
      <c r="B29" s="27" t="str">
        <f>IFERROR(__xludf.DUMMYFUNCTION("""COMPUTED_VALUE"""),"POS 406584XXXXXX4354 PZ HDFC CC BILLP")</f>
        <v>POS 406584XXXXXX4354 PZ HDFC CC BILLP</v>
      </c>
      <c r="C29" s="28" t="str">
        <f>IFERROR(__xludf.DUMMYFUNCTION("""COMPUTED_VALUE"""),"Credit Card Expense")</f>
        <v>Credit Card Expense</v>
      </c>
      <c r="D29" s="15">
        <f>IFERROR(__xludf.DUMMYFUNCTION("""COMPUTED_VALUE"""),-7787.0)</f>
        <v>-7787</v>
      </c>
      <c r="E29" s="15">
        <f t="shared" si="1"/>
        <v>5089.27</v>
      </c>
    </row>
    <row r="30" ht="22.5" customHeight="1">
      <c r="A30" s="26">
        <f>IFERROR(__xludf.DUMMYFUNCTION("""COMPUTED_VALUE"""),46004.0)</f>
        <v>46004</v>
      </c>
      <c r="B30" s="27" t="str">
        <f>IFERROR(__xludf.DUMMYFUNCTION("""COMPUTED_VALUE"""),"POS 406584XXXXXX4354 PZ HDFC CC BILLP")</f>
        <v>POS 406584XXXXXX4354 PZ HDFC CC BILLP</v>
      </c>
      <c r="C30" s="28" t="str">
        <f>IFERROR(__xludf.DUMMYFUNCTION("""COMPUTED_VALUE"""),"Credit Card Expense")</f>
        <v>Credit Card Expense</v>
      </c>
      <c r="D30" s="15">
        <f>IFERROR(__xludf.DUMMYFUNCTION("""COMPUTED_VALUE"""),-1500.0)</f>
        <v>-1500</v>
      </c>
      <c r="E30" s="15">
        <f t="shared" si="1"/>
        <v>3589.27</v>
      </c>
    </row>
    <row r="31" ht="22.5" customHeight="1">
      <c r="A31" s="26">
        <f>IFERROR(__xludf.DUMMYFUNCTION("""COMPUTED_VALUE"""),46004.0)</f>
        <v>46004</v>
      </c>
      <c r="B31" s="27" t="str">
        <f>IFERROR(__xludf.DUMMYFUNCTION("""COMPUTED_VALUE"""),"POS 406584XXXXXX4354 PZ HDFC CC BILLP")</f>
        <v>POS 406584XXXXXX4354 PZ HDFC CC BILLP</v>
      </c>
      <c r="C31" s="28" t="str">
        <f>IFERROR(__xludf.DUMMYFUNCTION("""COMPUTED_VALUE"""),"Credit Card Expense")</f>
        <v>Credit Card Expense</v>
      </c>
      <c r="D31" s="15">
        <f>IFERROR(__xludf.DUMMYFUNCTION("""COMPUTED_VALUE"""),-1301.32)</f>
        <v>-1301.32</v>
      </c>
      <c r="E31" s="15">
        <f t="shared" si="1"/>
        <v>2287.95</v>
      </c>
    </row>
    <row r="32" ht="22.5" customHeight="1">
      <c r="A32" s="26">
        <f>IFERROR(__xludf.DUMMYFUNCTION("""COMPUTED_VALUE"""),46004.0)</f>
        <v>46004</v>
      </c>
      <c r="B32" s="27" t="str">
        <f>IFERROR(__xludf.DUMMYFUNCTION("""COMPUTED_VALUE"""),"NEFT CR-SBIN0005397-ELECON INDUSTRIES-SHASHANK AGARWAL JI-SBIN125347668277")</f>
        <v>NEFT CR-SBIN0005397-ELECON INDUSTRIES-SHASHANK AGARWAL JI-SBIN125347668277</v>
      </c>
      <c r="C32" s="28" t="str">
        <f>IFERROR(__xludf.DUMMYFUNCTION("""COMPUTED_VALUE"""),"Salary Credit")</f>
        <v>Salary Credit</v>
      </c>
      <c r="D32" s="15">
        <f>IFERROR(__xludf.DUMMYFUNCTION("""COMPUTED_VALUE"""),25000.0)</f>
        <v>25000</v>
      </c>
      <c r="E32" s="15">
        <f t="shared" si="1"/>
        <v>27287.95</v>
      </c>
    </row>
    <row r="33" ht="22.5" customHeight="1">
      <c r="A33" s="26">
        <f>IFERROR(__xludf.DUMMYFUNCTION("""COMPUTED_VALUE"""),46005.0)</f>
        <v>46005</v>
      </c>
      <c r="B33" s="27" t="str">
        <f>IFERROR(__xludf.DUMMYFUNCTION("""COMPUTED_VALUE"""),"UPI-GOOGLE INDIA DIGITAL-GOOG-PAYMENTS@AXISBANK-UTIB0000553-598677133485-UPI")</f>
        <v>UPI-GOOGLE INDIA DIGITAL-GOOG-PAYMENTS@AXISBANK-UTIB0000553-598677133485-UPI</v>
      </c>
      <c r="C33" s="28" t="str">
        <f>IFERROR(__xludf.DUMMYFUNCTION("""COMPUTED_VALUE"""),"Living Expense")</f>
        <v>Living Expense</v>
      </c>
      <c r="D33" s="15">
        <f>IFERROR(__xludf.DUMMYFUNCTION("""COMPUTED_VALUE"""),2.0)</f>
        <v>2</v>
      </c>
      <c r="E33" s="15">
        <f t="shared" si="1"/>
        <v>27289.95</v>
      </c>
    </row>
    <row r="34" ht="22.5" customHeight="1">
      <c r="A34" s="26">
        <f>IFERROR(__xludf.DUMMYFUNCTION("""COMPUTED_VALUE"""),46005.0)</f>
        <v>46005</v>
      </c>
      <c r="B34" s="27" t="str">
        <f>IFERROR(__xludf.DUMMYFUNCTION("""COMPUTED_VALUE"""),"UPI-ZEVIBE SOLUTIONS PRI-ZEVIBE.UNL@AXISBANK-UTIB0000100-115610664725-UPI")</f>
        <v>UPI-ZEVIBE SOLUTIONS PRI-ZEVIBE.UNL@AXISBANK-UTIB0000100-115610664725-UPI</v>
      </c>
      <c r="C34" s="28" t="str">
        <f>IFERROR(__xludf.DUMMYFUNCTION("""COMPUTED_VALUE"""),"Living Expense")</f>
        <v>Living Expense</v>
      </c>
      <c r="D34" s="15">
        <f>IFERROR(__xludf.DUMMYFUNCTION("""COMPUTED_VALUE"""),-200.0)</f>
        <v>-200</v>
      </c>
      <c r="E34" s="15">
        <f t="shared" si="1"/>
        <v>27089.95</v>
      </c>
    </row>
    <row r="35" ht="22.5" customHeight="1">
      <c r="A35" s="26">
        <f>IFERROR(__xludf.DUMMYFUNCTION("""COMPUTED_VALUE"""),46006.0)</f>
        <v>46006</v>
      </c>
      <c r="B35" s="27" t="str">
        <f>IFERROR(__xludf.DUMMYFUNCTION("""COMPUTED_VALUE"""),"POS 406584XXXXXX4354 PZ HDFC CC BILLP")</f>
        <v>POS 406584XXXXXX4354 PZ HDFC CC BILLP</v>
      </c>
      <c r="C35" s="28" t="str">
        <f>IFERROR(__xludf.DUMMYFUNCTION("""COMPUTED_VALUE"""),"Credit Card Expense")</f>
        <v>Credit Card Expense</v>
      </c>
      <c r="D35" s="15">
        <f>IFERROR(__xludf.DUMMYFUNCTION("""COMPUTED_VALUE"""),-4597.79)</f>
        <v>-4597.79</v>
      </c>
      <c r="E35" s="15">
        <f t="shared" si="1"/>
        <v>22492.16</v>
      </c>
    </row>
    <row r="36" ht="22.5" customHeight="1">
      <c r="A36" s="26">
        <f>IFERROR(__xludf.DUMMYFUNCTION("""COMPUTED_VALUE"""),46006.0)</f>
        <v>46006</v>
      </c>
      <c r="B36" s="27" t="str">
        <f>IFERROR(__xludf.DUMMYFUNCTION("""COMPUTED_VALUE"""),"POS 406584XXXXXX4354 PZ HDFC CC BILLP")</f>
        <v>POS 406584XXXXXX4354 PZ HDFC CC BILLP</v>
      </c>
      <c r="C36" s="28" t="str">
        <f>IFERROR(__xludf.DUMMYFUNCTION("""COMPUTED_VALUE"""),"Credit Card Expense")</f>
        <v>Credit Card Expense</v>
      </c>
      <c r="D36" s="15">
        <f>IFERROR(__xludf.DUMMYFUNCTION("""COMPUTED_VALUE"""),-2223.0)</f>
        <v>-2223</v>
      </c>
      <c r="E36" s="15">
        <f t="shared" si="1"/>
        <v>20269.16</v>
      </c>
    </row>
    <row r="37" ht="22.5" customHeight="1">
      <c r="A37" s="26">
        <f>IFERROR(__xludf.DUMMYFUNCTION("""COMPUTED_VALUE"""),46006.0)</f>
        <v>46006</v>
      </c>
      <c r="B37" s="27" t="str">
        <f>IFERROR(__xludf.DUMMYFUNCTION("""COMPUTED_VALUE"""),"FT- 701780699-50200085415108 - HDFC SECURITIES LTD-CLIENT DSCNB A/C -")</f>
        <v>FT- 701780699-50200085415108 - HDFC SECURITIES LTD-CLIENT DSCNB A/C -</v>
      </c>
      <c r="C37" s="28" t="str">
        <f>IFERROR(__xludf.DUMMYFUNCTION("""COMPUTED_VALUE"""),"Demat ")</f>
        <v>Demat </v>
      </c>
      <c r="D37" s="15">
        <f>IFERROR(__xludf.DUMMYFUNCTION("""COMPUTED_VALUE"""),549.35)</f>
        <v>549.35</v>
      </c>
      <c r="E37" s="15">
        <f t="shared" si="1"/>
        <v>20818.51</v>
      </c>
    </row>
    <row r="38" ht="22.5" customHeight="1">
      <c r="A38" s="26">
        <f>IFERROR(__xludf.DUMMYFUNCTION("""COMPUTED_VALUE"""),46007.0)</f>
        <v>46007</v>
      </c>
      <c r="B38" s="27" t="str">
        <f>IFERROR(__xludf.DUMMYFUNCTION("""COMPUTED_VALUE"""),"NET PI TO HSL SEC A/C 6960363-00602340029444")</f>
        <v>NET PI TO HSL SEC A/C 6960363-00602340029444</v>
      </c>
      <c r="C38" s="28" t="str">
        <f>IFERROR(__xludf.DUMMYFUNCTION("""COMPUTED_VALUE"""),"Demat ")</f>
        <v>Demat </v>
      </c>
      <c r="D38" s="15">
        <f>IFERROR(__xludf.DUMMYFUNCTION("""COMPUTED_VALUE"""),-476.61)</f>
        <v>-476.61</v>
      </c>
      <c r="E38" s="15">
        <f t="shared" si="1"/>
        <v>20341.9</v>
      </c>
    </row>
    <row r="39" ht="22.5" customHeight="1">
      <c r="A39" s="26">
        <f>IFERROR(__xludf.DUMMYFUNCTION("""COMPUTED_VALUE"""),46007.0)</f>
        <v>46007</v>
      </c>
      <c r="B39" s="27" t="str">
        <f>IFERROR(__xludf.DUMMYFUNCTION("""COMPUTED_VALUE"""),"UPI-AMAZON PAY-AMAZONBILLPAYMENTGPRRCCUPI@YAPL-YESB0APLUPI-535054672518-REQUEST FROM AMAZO")</f>
        <v>UPI-AMAZON PAY-AMAZONBILLPAYMENTGPRRCCUPI@YAPL-YESB0APLUPI-535054672518-REQUEST FROM AMAZO</v>
      </c>
      <c r="C39" s="28" t="str">
        <f>IFERROR(__xludf.DUMMYFUNCTION("""COMPUTED_VALUE"""),"Living Expense")</f>
        <v>Living Expense</v>
      </c>
      <c r="D39" s="15">
        <f>IFERROR(__xludf.DUMMYFUNCTION("""COMPUTED_VALUE"""),-36.0)</f>
        <v>-36</v>
      </c>
      <c r="E39" s="15">
        <f t="shared" si="1"/>
        <v>20305.9</v>
      </c>
    </row>
    <row r="40" ht="22.5" customHeight="1">
      <c r="A40" s="26">
        <f>IFERROR(__xludf.DUMMYFUNCTION("""COMPUTED_VALUE"""),46008.0)</f>
        <v>46008</v>
      </c>
      <c r="B40" s="27" t="str">
        <f>IFERROR(__xludf.DUMMYFUNCTION("""COMPUTED_VALUE"""),"POS 406584XXXXXX4354 PZ HDFC CC BILLP")</f>
        <v>POS 406584XXXXXX4354 PZ HDFC CC BILLP</v>
      </c>
      <c r="C40" s="28" t="str">
        <f>IFERROR(__xludf.DUMMYFUNCTION("""COMPUTED_VALUE"""),"Credit Card Expense")</f>
        <v>Credit Card Expense</v>
      </c>
      <c r="D40" s="15">
        <f>IFERROR(__xludf.DUMMYFUNCTION("""COMPUTED_VALUE"""),-1561.0)</f>
        <v>-1561</v>
      </c>
      <c r="E40" s="15">
        <f t="shared" si="1"/>
        <v>18744.9</v>
      </c>
    </row>
    <row r="41" ht="22.5" customHeight="1">
      <c r="A41" s="26">
        <f>IFERROR(__xludf.DUMMYFUNCTION("""COMPUTED_VALUE"""),46008.0)</f>
        <v>46008</v>
      </c>
      <c r="B41" s="27" t="str">
        <f>IFERROR(__xludf.DUMMYFUNCTION("""COMPUTED_VALUE"""),"50200116058263-TPT-CUSTOM DUTY-ELECON AEROTECH PRIVATE LIMITED")</f>
        <v>50200116058263-TPT-CUSTOM DUTY-ELECON AEROTECH PRIVATE LIMITED</v>
      </c>
      <c r="C41" s="28" t="str">
        <f>IFERROR(__xludf.DUMMYFUNCTION("""COMPUTED_VALUE"""),"Living Expense")</f>
        <v>Living Expense</v>
      </c>
      <c r="D41" s="15">
        <f>IFERROR(__xludf.DUMMYFUNCTION("""COMPUTED_VALUE"""),6000.0)</f>
        <v>6000</v>
      </c>
      <c r="E41" s="15">
        <f t="shared" si="1"/>
        <v>24744.9</v>
      </c>
    </row>
    <row r="42" ht="22.5" customHeight="1">
      <c r="A42" s="26">
        <f>IFERROR(__xludf.DUMMYFUNCTION("""COMPUTED_VALUE"""),46008.0)</f>
        <v>46008</v>
      </c>
      <c r="B42" s="27" t="str">
        <f>IFERROR(__xludf.DUMMYFUNCTION("""COMPUTED_VALUE"""),"UPI-CBIC ICEGATE-CBICICEGATE.70501658@HDFCBANK-HDFC0MERUPI-115761190002-PAY")</f>
        <v>UPI-CBIC ICEGATE-CBICICEGATE.70501658@HDFCBANK-HDFC0MERUPI-115761190002-PAY</v>
      </c>
      <c r="C42" s="28" t="str">
        <f>IFERROR(__xludf.DUMMYFUNCTION("""COMPUTED_VALUE"""),"Living Expense")</f>
        <v>Living Expense</v>
      </c>
      <c r="D42" s="15">
        <f>IFERROR(__xludf.DUMMYFUNCTION("""COMPUTED_VALUE"""),-6000.0)</f>
        <v>-6000</v>
      </c>
      <c r="E42" s="15">
        <f t="shared" si="1"/>
        <v>18744.9</v>
      </c>
    </row>
    <row r="43" ht="22.5" customHeight="1">
      <c r="A43" s="26">
        <f>IFERROR(__xludf.DUMMYFUNCTION("""COMPUTED_VALUE"""),46009.0)</f>
        <v>46009</v>
      </c>
      <c r="B43" s="27" t="str">
        <f>IFERROR(__xludf.DUMMYFUNCTION("""COMPUTED_VALUE"""),"NET PI TO HSL SEC A/C 6960363-00602340029444")</f>
        <v>NET PI TO HSL SEC A/C 6960363-00602340029444</v>
      </c>
      <c r="C43" s="28" t="str">
        <f>IFERROR(__xludf.DUMMYFUNCTION("""COMPUTED_VALUE"""),"Demat ")</f>
        <v>Demat </v>
      </c>
      <c r="D43" s="15">
        <f>IFERROR(__xludf.DUMMYFUNCTION("""COMPUTED_VALUE"""),-477.7)</f>
        <v>-477.7</v>
      </c>
      <c r="E43" s="15">
        <f t="shared" si="1"/>
        <v>18267.2</v>
      </c>
    </row>
    <row r="44" ht="22.5" customHeight="1">
      <c r="A44" s="26">
        <f>IFERROR(__xludf.DUMMYFUNCTION("""COMPUTED_VALUE"""),46013.0)</f>
        <v>46013</v>
      </c>
      <c r="B44" s="27" t="str">
        <f>IFERROR(__xludf.DUMMYFUNCTION("""COMPUTED_VALUE"""),"POS 406584XXXXXX4354 PZ HDFC CC BILLP")</f>
        <v>POS 406584XXXXXX4354 PZ HDFC CC BILLP</v>
      </c>
      <c r="C44" s="28" t="str">
        <f>IFERROR(__xludf.DUMMYFUNCTION("""COMPUTED_VALUE"""),"Credit Card Expense")</f>
        <v>Credit Card Expense</v>
      </c>
      <c r="D44" s="15">
        <f>IFERROR(__xludf.DUMMYFUNCTION("""COMPUTED_VALUE"""),-1200.0)</f>
        <v>-1200</v>
      </c>
      <c r="E44" s="15">
        <f t="shared" si="1"/>
        <v>17067.2</v>
      </c>
    </row>
    <row r="45" ht="22.5" customHeight="1">
      <c r="A45" s="26">
        <f>IFERROR(__xludf.DUMMYFUNCTION("""COMPUTED_VALUE"""),46013.0)</f>
        <v>46013</v>
      </c>
      <c r="B45" s="27" t="str">
        <f>IFERROR(__xludf.DUMMYFUNCTION("""COMPUTED_VALUE"""),"UPI-DHRUV GUPTA-DKG200510@OKHDFCBANK-HDFC0001388-116038022997-UPI")</f>
        <v>UPI-DHRUV GUPTA-DKG200510@OKHDFCBANK-HDFC0001388-116038022997-UPI</v>
      </c>
      <c r="C45" s="28" t="str">
        <f>IFERROR(__xludf.DUMMYFUNCTION("""COMPUTED_VALUE"""),"Living Expense")</f>
        <v>Living Expense</v>
      </c>
      <c r="D45" s="15">
        <f>IFERROR(__xludf.DUMMYFUNCTION("""COMPUTED_VALUE"""),1200.0)</f>
        <v>1200</v>
      </c>
      <c r="E45" s="15">
        <f t="shared" si="1"/>
        <v>18267.2</v>
      </c>
    </row>
    <row r="46" ht="22.5" customHeight="1">
      <c r="A46" s="26">
        <f>IFERROR(__xludf.DUMMYFUNCTION("""COMPUTED_VALUE"""),46015.0)</f>
        <v>46015</v>
      </c>
      <c r="B46" s="27" t="str">
        <f>IFERROR(__xludf.DUMMYFUNCTION("""COMPUTED_VALUE"""),"UPI-PZ HDFC CC BILLPAY-PZHDFCCCBILLPAY.75104155@HDFCBANK-HDFC0MERUPI-719936439982-EMPTY NOTE")</f>
        <v>UPI-PZ HDFC CC BILLPAY-PZHDFCCCBILLPAY.75104155@HDFCBANK-HDFC0MERUPI-719936439982-EMPTY NOTE</v>
      </c>
      <c r="C46" s="28" t="str">
        <f>IFERROR(__xludf.DUMMYFUNCTION("""COMPUTED_VALUE"""),"Credit Card Expense")</f>
        <v>Credit Card Expense</v>
      </c>
      <c r="D46" s="15">
        <f>IFERROR(__xludf.DUMMYFUNCTION("""COMPUTED_VALUE"""),-5000.0)</f>
        <v>-5000</v>
      </c>
      <c r="E46" s="15">
        <f t="shared" si="1"/>
        <v>13267.2</v>
      </c>
    </row>
    <row r="47" ht="22.5" customHeight="1">
      <c r="A47" s="26">
        <f>IFERROR(__xludf.DUMMYFUNCTION("""COMPUTED_VALUE"""),46015.0)</f>
        <v>46015</v>
      </c>
      <c r="B47" s="27" t="str">
        <f>IFERROR(__xludf.DUMMYFUNCTION("""COMPUTED_VALUE"""),"UPI-PZ HDFC CC BILLPAY-PZHDFCCCBILLPAY.75104155@HDFCBANK-HDFC0MERUPI-922838699012-EMPTY NOTE")</f>
        <v>UPI-PZ HDFC CC BILLPAY-PZHDFCCCBILLPAY.75104155@HDFCBANK-HDFC0MERUPI-922838699012-EMPTY NOTE</v>
      </c>
      <c r="C47" s="28" t="str">
        <f>IFERROR(__xludf.DUMMYFUNCTION("""COMPUTED_VALUE"""),"Credit Card Expense")</f>
        <v>Credit Card Expense</v>
      </c>
      <c r="D47" s="15">
        <f>IFERROR(__xludf.DUMMYFUNCTION("""COMPUTED_VALUE"""),-113.55)</f>
        <v>-113.55</v>
      </c>
      <c r="E47" s="15">
        <f t="shared" si="1"/>
        <v>13153.65</v>
      </c>
    </row>
    <row r="48" ht="22.5" customHeight="1">
      <c r="A48" s="26">
        <f>IFERROR(__xludf.DUMMYFUNCTION("""COMPUTED_VALUE"""),46015.0)</f>
        <v>46015</v>
      </c>
      <c r="B48" s="27" t="str">
        <f>IFERROR(__xludf.DUMMYFUNCTION("""COMPUTED_VALUE"""),"NET PAYIN TO NSE MF A/C -57500001396612- UCC -6960363-453580170909-57500001396612")</f>
        <v>NET PAYIN TO NSE MF A/C -57500001396612- UCC -6960363-453580170909-57500001396612</v>
      </c>
      <c r="C48" s="28" t="str">
        <f>IFERROR(__xludf.DUMMYFUNCTION("""COMPUTED_VALUE"""),"Demat ")</f>
        <v>Demat </v>
      </c>
      <c r="D48" s="15">
        <f>IFERROR(__xludf.DUMMYFUNCTION("""COMPUTED_VALUE"""),-500.0)</f>
        <v>-500</v>
      </c>
      <c r="E48" s="15">
        <f t="shared" si="1"/>
        <v>12653.65</v>
      </c>
    </row>
    <row r="49" ht="22.5" customHeight="1">
      <c r="A49" s="26">
        <f>IFERROR(__xludf.DUMMYFUNCTION("""COMPUTED_VALUE"""),46015.0)</f>
        <v>46015</v>
      </c>
      <c r="B49" s="27" t="str">
        <f>IFERROR(__xludf.DUMMYFUNCTION("""COMPUTED_VALUE"""),"NET PI TO HSL SEC A/C 6960363-00602340029444")</f>
        <v>NET PI TO HSL SEC A/C 6960363-00602340029444</v>
      </c>
      <c r="C49" s="28" t="str">
        <f>IFERROR(__xludf.DUMMYFUNCTION("""COMPUTED_VALUE"""),"Demat ")</f>
        <v>Demat </v>
      </c>
      <c r="D49" s="15">
        <f>IFERROR(__xludf.DUMMYFUNCTION("""COMPUTED_VALUE"""),-1054.54)</f>
        <v>-1054.54</v>
      </c>
      <c r="E49" s="15">
        <f t="shared" si="1"/>
        <v>11599.11</v>
      </c>
    </row>
    <row r="50" ht="22.5" customHeight="1">
      <c r="A50" s="26">
        <f>IFERROR(__xludf.DUMMYFUNCTION("""COMPUTED_VALUE"""),46016.0)</f>
        <v>46016</v>
      </c>
      <c r="B50" s="27" t="str">
        <f>IFERROR(__xludf.DUMMYFUNCTION("""COMPUTED_VALUE"""),"POS 406584XXXXXX4354 PZ HDFC CC BILLP")</f>
        <v>POS 406584XXXXXX4354 PZ HDFC CC BILLP</v>
      </c>
      <c r="C50" s="28" t="str">
        <f>IFERROR(__xludf.DUMMYFUNCTION("""COMPUTED_VALUE"""),"Credit Card Expense")</f>
        <v>Credit Card Expense</v>
      </c>
      <c r="D50" s="15">
        <f>IFERROR(__xludf.DUMMYFUNCTION("""COMPUTED_VALUE"""),-1111.26)</f>
        <v>-1111.26</v>
      </c>
      <c r="E50" s="15">
        <f t="shared" si="1"/>
        <v>10487.85</v>
      </c>
    </row>
    <row r="51" ht="22.5" customHeight="1">
      <c r="A51" s="26">
        <f>IFERROR(__xludf.DUMMYFUNCTION("""COMPUTED_VALUE"""),46016.0)</f>
        <v>46016</v>
      </c>
      <c r="B51" s="27" t="str">
        <f>IFERROR(__xludf.DUMMYFUNCTION("""COMPUTED_VALUE"""),"POS 406584XXXXXX4354 PZ HDFC CC BILLP")</f>
        <v>POS 406584XXXXXX4354 PZ HDFC CC BILLP</v>
      </c>
      <c r="C51" s="28" t="str">
        <f>IFERROR(__xludf.DUMMYFUNCTION("""COMPUTED_VALUE"""),"Credit Card Expense")</f>
        <v>Credit Card Expense</v>
      </c>
      <c r="D51" s="15">
        <f>IFERROR(__xludf.DUMMYFUNCTION("""COMPUTED_VALUE"""),-1100.0)</f>
        <v>-1100</v>
      </c>
      <c r="E51" s="15">
        <f t="shared" si="1"/>
        <v>9387.85</v>
      </c>
    </row>
    <row r="52" ht="22.5" customHeight="1">
      <c r="A52" s="26">
        <f>IFERROR(__xludf.DUMMYFUNCTION("""COMPUTED_VALUE"""),46016.0)</f>
        <v>46016</v>
      </c>
      <c r="B52" s="27" t="str">
        <f>IFERROR(__xludf.DUMMYFUNCTION("""COMPUTED_VALUE"""),"CASH DEPOSIT-406584XXXXXX4354-PANCHKULA SECTOR 8 CHANDIGARH")</f>
        <v>CASH DEPOSIT-406584XXXXXX4354-PANCHKULA SECTOR 8 CHANDIGARH</v>
      </c>
      <c r="C52" s="28" t="str">
        <f>IFERROR(__xludf.DUMMYFUNCTION("""COMPUTED_VALUE"""),"Living Expense")</f>
        <v>Living Expense</v>
      </c>
      <c r="D52" s="15">
        <f>IFERROR(__xludf.DUMMYFUNCTION("""COMPUTED_VALUE"""),4000.0)</f>
        <v>4000</v>
      </c>
      <c r="E52" s="15">
        <f t="shared" si="1"/>
        <v>13387.85</v>
      </c>
    </row>
    <row r="53" ht="22.5" customHeight="1">
      <c r="A53" s="26">
        <f>IFERROR(__xludf.DUMMYFUNCTION("""COMPUTED_VALUE"""),46016.0)</f>
        <v>46016</v>
      </c>
      <c r="B53" s="27" t="str">
        <f>IFERROR(__xludf.DUMMYFUNCTION("""COMPUTED_VALUE"""),"UPI-GOOGLE INDIA DIGITAL-GOOG-PAYMENTS@AXISBANK-UTIB0000553-439082733595-UPI")</f>
        <v>UPI-GOOGLE INDIA DIGITAL-GOOG-PAYMENTS@AXISBANK-UTIB0000553-439082733595-UPI</v>
      </c>
      <c r="C53" s="28" t="str">
        <f>IFERROR(__xludf.DUMMYFUNCTION("""COMPUTED_VALUE"""),"Living Expense")</f>
        <v>Living Expense</v>
      </c>
      <c r="D53" s="15">
        <f>IFERROR(__xludf.DUMMYFUNCTION("""COMPUTED_VALUE"""),10.0)</f>
        <v>10</v>
      </c>
      <c r="E53" s="15">
        <f t="shared" si="1"/>
        <v>13397.85</v>
      </c>
    </row>
    <row r="54" ht="22.5" customHeight="1">
      <c r="A54" s="26">
        <f>IFERROR(__xludf.DUMMYFUNCTION("""COMPUTED_VALUE"""),46016.0)</f>
        <v>46016</v>
      </c>
      <c r="B54" s="27" t="str">
        <f>IFERROR(__xludf.DUMMYFUNCTION("""COMPUTED_VALUE"""),"UPI-GOOGLE INDIA DIGITAL-GOOG-PAYMENTS@AXISBANK-UTIB0000553-505762483595-UPI")</f>
        <v>UPI-GOOGLE INDIA DIGITAL-GOOG-PAYMENTS@AXISBANK-UTIB0000553-505762483595-UPI</v>
      </c>
      <c r="C54" s="28" t="str">
        <f>IFERROR(__xludf.DUMMYFUNCTION("""COMPUTED_VALUE"""),"Living Expense")</f>
        <v>Living Expense</v>
      </c>
      <c r="D54" s="15">
        <f>IFERROR(__xludf.DUMMYFUNCTION("""COMPUTED_VALUE"""),2.0)</f>
        <v>2</v>
      </c>
      <c r="E54" s="15">
        <f t="shared" si="1"/>
        <v>13399.85</v>
      </c>
    </row>
    <row r="55" ht="22.5" customHeight="1">
      <c r="A55" s="26">
        <f>IFERROR(__xludf.DUMMYFUNCTION("""COMPUTED_VALUE"""),46016.0)</f>
        <v>46016</v>
      </c>
      <c r="B55" s="27" t="str">
        <f>IFERROR(__xludf.DUMMYFUNCTION("""COMPUTED_VALUE"""),"UPI-PROTEAN EGOV TECHNOL-PROTEANEGOVTECHNOLOG.76508107@HDFCBANK-HDFC0MERUPI-785503348061-PAYMENT TO PROTEAN")</f>
        <v>UPI-PROTEAN EGOV TECHNOL-PROTEANEGOVTECHNOLOG.76508107@HDFCBANK-HDFC0MERUPI-785503348061-PAYMENT TO PROTEAN</v>
      </c>
      <c r="C55" s="28" t="str">
        <f>IFERROR(__xludf.DUMMYFUNCTION("""COMPUTED_VALUE"""),"Living Expense")</f>
        <v>Living Expense</v>
      </c>
      <c r="D55" s="15">
        <f>IFERROR(__xludf.DUMMYFUNCTION("""COMPUTED_VALUE"""),-8.26)</f>
        <v>-8.26</v>
      </c>
      <c r="E55" s="15">
        <f t="shared" si="1"/>
        <v>13391.59</v>
      </c>
    </row>
    <row r="56" ht="22.5" customHeight="1">
      <c r="A56" s="26">
        <f>IFERROR(__xludf.DUMMYFUNCTION("""COMPUTED_VALUE"""),46016.0)</f>
        <v>46016</v>
      </c>
      <c r="B56" s="27" t="str">
        <f>IFERROR(__xludf.DUMMYFUNCTION("""COMPUTED_VALUE"""),"UPI-SHASHANK AGARWAL-8580825850@PZW-PPIW0887128-420161706017-OK")</f>
        <v>UPI-SHASHANK AGARWAL-8580825850@PZW-PPIW0887128-420161706017-OK</v>
      </c>
      <c r="C56" s="28" t="str">
        <f>IFERROR(__xludf.DUMMYFUNCTION("""COMPUTED_VALUE"""),"Living Expense")</f>
        <v>Living Expense</v>
      </c>
      <c r="D56" s="15">
        <f>IFERROR(__xludf.DUMMYFUNCTION("""COMPUTED_VALUE"""),11.0)</f>
        <v>11</v>
      </c>
      <c r="E56" s="15">
        <f t="shared" si="1"/>
        <v>13402.59</v>
      </c>
    </row>
    <row r="57" ht="22.5" customHeight="1">
      <c r="A57" s="26">
        <f>IFERROR(__xludf.DUMMYFUNCTION("""COMPUTED_VALUE"""),46017.0)</f>
        <v>46017</v>
      </c>
      <c r="B57" s="27" t="str">
        <f>IFERROR(__xludf.DUMMYFUNCTION("""COMPUTED_VALUE"""),"POS 406584XXXXXX4354 PZ HDFC CC BILLP")</f>
        <v>POS 406584XXXXXX4354 PZ HDFC CC BILLP</v>
      </c>
      <c r="C57" s="28" t="str">
        <f>IFERROR(__xludf.DUMMYFUNCTION("""COMPUTED_VALUE"""),"Credit Card Expense")</f>
        <v>Credit Card Expense</v>
      </c>
      <c r="D57" s="15">
        <f>IFERROR(__xludf.DUMMYFUNCTION("""COMPUTED_VALUE"""),-1702.0)</f>
        <v>-1702</v>
      </c>
      <c r="E57" s="15">
        <f t="shared" si="1"/>
        <v>11700.59</v>
      </c>
    </row>
    <row r="58" ht="22.5" customHeight="1">
      <c r="A58" s="26">
        <f>IFERROR(__xludf.DUMMYFUNCTION("""COMPUTED_VALUE"""),46017.0)</f>
        <v>46017</v>
      </c>
      <c r="B58" s="27" t="str">
        <f>IFERROR(__xludf.DUMMYFUNCTION("""COMPUTED_VALUE"""),"POS 406584XXXXXX4354 PZ HDFC CC BILLP")</f>
        <v>POS 406584XXXXXX4354 PZ HDFC CC BILLP</v>
      </c>
      <c r="C58" s="28" t="str">
        <f>IFERROR(__xludf.DUMMYFUNCTION("""COMPUTED_VALUE"""),"Credit Card Expense")</f>
        <v>Credit Card Expense</v>
      </c>
      <c r="D58" s="15">
        <f>IFERROR(__xludf.DUMMYFUNCTION("""COMPUTED_VALUE"""),-885.0)</f>
        <v>-885</v>
      </c>
      <c r="E58" s="15">
        <f t="shared" si="1"/>
        <v>10815.59</v>
      </c>
    </row>
    <row r="59" ht="22.5" customHeight="1">
      <c r="A59" s="26">
        <f>IFERROR(__xludf.DUMMYFUNCTION("""COMPUTED_VALUE"""),46017.0)</f>
        <v>46017</v>
      </c>
      <c r="B59" s="27" t="str">
        <f>IFERROR(__xludf.DUMMYFUNCTION("""COMPUTED_VALUE"""),"NET PI TO HSL SEC A/C 6960363-00602340029444")</f>
        <v>NET PI TO HSL SEC A/C 6960363-00602340029444</v>
      </c>
      <c r="C59" s="28" t="str">
        <f>IFERROR(__xludf.DUMMYFUNCTION("""COMPUTED_VALUE"""),"Demat ")</f>
        <v>Demat </v>
      </c>
      <c r="D59" s="15">
        <f>IFERROR(__xludf.DUMMYFUNCTION("""COMPUTED_VALUE"""),-24.0)</f>
        <v>-24</v>
      </c>
      <c r="E59" s="15">
        <f t="shared" si="1"/>
        <v>10791.59</v>
      </c>
    </row>
    <row r="60" ht="22.5" customHeight="1">
      <c r="A60" s="26">
        <f>IFERROR(__xludf.DUMMYFUNCTION("""COMPUTED_VALUE"""),46017.0)</f>
        <v>46017</v>
      </c>
      <c r="B60" s="27" t="str">
        <f>IFERROR(__xludf.DUMMYFUNCTION("""COMPUTED_VALUE"""),"50200116058263-TPT-DIRECTOR TRANSFER-ELECON AEROTECH PRIVATE LIMITED")</f>
        <v>50200116058263-TPT-DIRECTOR TRANSFER-ELECON AEROTECH PRIVATE LIMITED</v>
      </c>
      <c r="C60" s="28" t="str">
        <f>IFERROR(__xludf.DUMMYFUNCTION("""COMPUTED_VALUE"""),"StartUp Funding")</f>
        <v>StartUp Funding</v>
      </c>
      <c r="D60" s="15">
        <f>IFERROR(__xludf.DUMMYFUNCTION("""COMPUTED_VALUE"""),-50000.0)</f>
        <v>-50000</v>
      </c>
      <c r="E60" s="15">
        <f t="shared" si="1"/>
        <v>-39208.41</v>
      </c>
    </row>
    <row r="61" ht="22.5" customHeight="1">
      <c r="A61" s="26">
        <f>IFERROR(__xludf.DUMMYFUNCTION("""COMPUTED_VALUE"""),46017.0)</f>
        <v>46017</v>
      </c>
      <c r="B61" s="27" t="str">
        <f>IFERROR(__xludf.DUMMYFUNCTION("""COMPUTED_VALUE"""),"IMPS-536314869123-ELECON INDUSTRIES-SBIN-XXXXXXXXXXXXX7101-NULL")</f>
        <v>IMPS-536314869123-ELECON INDUSTRIES-SBIN-XXXXXXXXXXXXX7101-NULL</v>
      </c>
      <c r="C61" s="28" t="str">
        <f>IFERROR(__xludf.DUMMYFUNCTION("""COMPUTED_VALUE"""),"StartUp Funding")</f>
        <v>StartUp Funding</v>
      </c>
      <c r="D61" s="15">
        <f>IFERROR(__xludf.DUMMYFUNCTION("""COMPUTED_VALUE"""),50000.0)</f>
        <v>50000</v>
      </c>
      <c r="E61" s="15">
        <f t="shared" si="1"/>
        <v>10791.59</v>
      </c>
    </row>
    <row r="62" ht="22.5" customHeight="1">
      <c r="A62" s="26">
        <f>IFERROR(__xludf.DUMMYFUNCTION("""COMPUTED_VALUE"""),46021.0)</f>
        <v>46021</v>
      </c>
      <c r="B62" s="27" t="str">
        <f>IFERROR(__xludf.DUMMYFUNCTION("""COMPUTED_VALUE"""),"IMPS Charge")</f>
        <v>IMPS Charge</v>
      </c>
      <c r="C62" s="28" t="str">
        <f>IFERROR(__xludf.DUMMYFUNCTION("""COMPUTED_VALUE"""),"Living Expense")</f>
        <v>Living Expense</v>
      </c>
      <c r="D62" s="15">
        <f>IFERROR(__xludf.DUMMYFUNCTION("""COMPUTED_VALUE"""),-5.9)</f>
        <v>-5.9</v>
      </c>
      <c r="E62" s="15">
        <f t="shared" si="1"/>
        <v>10785.69</v>
      </c>
    </row>
    <row r="63" ht="22.5" customHeight="1">
      <c r="A63" s="26">
        <f>IFERROR(__xludf.DUMMYFUNCTION("""COMPUTED_VALUE"""),46021.0)</f>
        <v>46021</v>
      </c>
      <c r="B63" s="27" t="str">
        <f>IFERROR(__xludf.DUMMYFUNCTION("""COMPUTED_VALUE"""),"Soumil GT Road Contribution")</f>
        <v>Soumil GT Road Contribution</v>
      </c>
      <c r="C63" s="28" t="str">
        <f>IFERROR(__xludf.DUMMYFUNCTION("""COMPUTED_VALUE"""),"Living Expense")</f>
        <v>Living Expense</v>
      </c>
      <c r="D63" s="15">
        <f>IFERROR(__xludf.DUMMYFUNCTION("""COMPUTED_VALUE"""),1284.0)</f>
        <v>1284</v>
      </c>
      <c r="E63" s="15">
        <f t="shared" si="1"/>
        <v>12069.69</v>
      </c>
    </row>
    <row r="64" ht="22.5" customHeight="1">
      <c r="A64" s="26">
        <f>IFERROR(__xludf.DUMMYFUNCTION("""COMPUTED_VALUE"""),46021.0)</f>
        <v>46021</v>
      </c>
      <c r="B64" s="27" t="str">
        <f>IFERROR(__xludf.DUMMYFUNCTION("""COMPUTED_VALUE"""),"UPI-Elecon Aerotech")</f>
        <v>UPI-Elecon Aerotech</v>
      </c>
      <c r="C64" s="28" t="str">
        <f>IFERROR(__xludf.DUMMYFUNCTION("""COMPUTED_VALUE"""),"StartUp Funding")</f>
        <v>StartUp Funding</v>
      </c>
      <c r="D64" s="15">
        <f>IFERROR(__xludf.DUMMYFUNCTION("""COMPUTED_VALUE"""),-5100.0)</f>
        <v>-5100</v>
      </c>
      <c r="E64" s="15">
        <f t="shared" si="1"/>
        <v>6969.69</v>
      </c>
    </row>
    <row r="65" ht="22.5" customHeight="1">
      <c r="A65" s="26">
        <f>IFERROR(__xludf.DUMMYFUNCTION("""COMPUTED_VALUE"""),46022.0)</f>
        <v>46022</v>
      </c>
      <c r="B65" s="27" t="str">
        <f>IFERROR(__xludf.DUMMYFUNCTION("""COMPUTED_VALUE"""),"UPI-Aryaman Sharma")</f>
        <v>UPI-Aryaman Sharma</v>
      </c>
      <c r="C65" s="28" t="str">
        <f>IFERROR(__xludf.DUMMYFUNCTION("""COMPUTED_VALUE"""),"Living Expense")</f>
        <v>Living Expense</v>
      </c>
      <c r="D65" s="15">
        <f>IFERROR(__xludf.DUMMYFUNCTION("""COMPUTED_VALUE"""),240.0)</f>
        <v>240</v>
      </c>
      <c r="E65" s="15">
        <f t="shared" si="1"/>
        <v>7209.69</v>
      </c>
    </row>
    <row r="66" ht="22.5" customHeight="1">
      <c r="A66" s="26">
        <f>IFERROR(__xludf.DUMMYFUNCTION("""COMPUTED_VALUE"""),46022.0)</f>
        <v>46022</v>
      </c>
      <c r="B66" s="27" t="str">
        <f>IFERROR(__xludf.DUMMYFUNCTION("""COMPUTED_VALUE"""),"UPI-Elecon Aerotech-Reverse NEFT")</f>
        <v>UPI-Elecon Aerotech-Reverse NEFT</v>
      </c>
      <c r="C66" s="28" t="str">
        <f>IFERROR(__xludf.DUMMYFUNCTION("""COMPUTED_VALUE"""),"StartUp Funding")</f>
        <v>StartUp Funding</v>
      </c>
      <c r="D66" s="15">
        <f>IFERROR(__xludf.DUMMYFUNCTION("""COMPUTED_VALUE"""),5100.0)</f>
        <v>5100</v>
      </c>
      <c r="E66" s="15">
        <f t="shared" si="1"/>
        <v>12309.69</v>
      </c>
    </row>
    <row r="67" ht="22.5" customHeight="1">
      <c r="A67" s="26">
        <f>IFERROR(__xludf.DUMMYFUNCTION("""COMPUTED_VALUE"""),46023.0)</f>
        <v>46023</v>
      </c>
      <c r="B67" s="27" t="str">
        <f>IFERROR(__xludf.DUMMYFUNCTION("""COMPUTED_VALUE"""),"POS 406584XXXXXX4354 PZ HDFC CC BILLP")</f>
        <v>POS 406584XXXXXX4354 PZ HDFC CC BILLP</v>
      </c>
      <c r="C67" s="28" t="str">
        <f>IFERROR(__xludf.DUMMYFUNCTION("""COMPUTED_VALUE"""),"Credit Card Expense")</f>
        <v>Credit Card Expense</v>
      </c>
      <c r="D67" s="15">
        <f>IFERROR(__xludf.DUMMYFUNCTION("""COMPUTED_VALUE"""),-43.9)</f>
        <v>-43.9</v>
      </c>
      <c r="E67" s="15">
        <f t="shared" si="1"/>
        <v>12265.79</v>
      </c>
    </row>
    <row r="68" ht="22.5" customHeight="1">
      <c r="A68" s="26">
        <f>IFERROR(__xludf.DUMMYFUNCTION("""COMPUTED_VALUE"""),46023.0)</f>
        <v>46023</v>
      </c>
      <c r="B68" s="27" t="str">
        <f>IFERROR(__xludf.DUMMYFUNCTION("""COMPUTED_VALUE"""),"UPI-SHASHANK AGARWAL-8580825850@AMAZONPAY-PPIW0884207-600187446854-UPI")</f>
        <v>UPI-SHASHANK AGARWAL-8580825850@AMAZONPAY-PPIW0884207-600187446854-UPI</v>
      </c>
      <c r="C68" s="28" t="str">
        <f>IFERROR(__xludf.DUMMYFUNCTION("""COMPUTED_VALUE"""),"Living Expense")</f>
        <v>Living Expense</v>
      </c>
      <c r="D68" s="15">
        <f>IFERROR(__xludf.DUMMYFUNCTION("""COMPUTED_VALUE"""),43.9)</f>
        <v>43.9</v>
      </c>
      <c r="E68" s="15">
        <f t="shared" si="1"/>
        <v>12309.69</v>
      </c>
    </row>
    <row r="69" ht="22.5" customHeight="1">
      <c r="A69" s="26">
        <f>IFERROR(__xludf.DUMMYFUNCTION("""COMPUTED_VALUE"""),46024.0)</f>
        <v>46024</v>
      </c>
      <c r="B69" s="27" t="str">
        <f>IFERROR(__xludf.DUMMYFUNCTION("""COMPUTED_VALUE"""),"POS 406584XXXXXX4354 PZ HDFC CC BILLP")</f>
        <v>POS 406584XXXXXX4354 PZ HDFC CC BILLP</v>
      </c>
      <c r="C69" s="28" t="str">
        <f>IFERROR(__xludf.DUMMYFUNCTION("""COMPUTED_VALUE"""),"Credit Card Expense")</f>
        <v>Credit Card Expense</v>
      </c>
      <c r="D69" s="15">
        <f>IFERROR(__xludf.DUMMYFUNCTION("""COMPUTED_VALUE"""),-2000.0)</f>
        <v>-2000</v>
      </c>
      <c r="E69" s="15">
        <f t="shared" si="1"/>
        <v>10309.69</v>
      </c>
    </row>
    <row r="70" ht="22.5" customHeight="1">
      <c r="A70" s="26">
        <f>IFERROR(__xludf.DUMMYFUNCTION("""COMPUTED_VALUE"""),46024.0)</f>
        <v>46024</v>
      </c>
      <c r="B70" s="27" t="str">
        <f>IFERROR(__xludf.DUMMYFUNCTION("""COMPUTED_VALUE"""),"UPI-GOOGLE ASIA PACIFIC -PLAYSTORE1.BD@AXISBANK-UTIB0000100-468968460026-UPI INAPP PAYMENT")</f>
        <v>UPI-GOOGLE ASIA PACIFIC -PLAYSTORE1.BD@AXISBANK-UTIB0000100-468968460026-UPI INAPP PAYMENT</v>
      </c>
      <c r="C70" s="28" t="str">
        <f>IFERROR(__xludf.DUMMYFUNCTION("""COMPUTED_VALUE"""),"Living Expense")</f>
        <v>Living Expense</v>
      </c>
      <c r="D70" s="15">
        <f>IFERROR(__xludf.DUMMYFUNCTION("""COMPUTED_VALUE"""),-200.0)</f>
        <v>-200</v>
      </c>
      <c r="E70" s="15">
        <f t="shared" si="1"/>
        <v>10109.69</v>
      </c>
    </row>
    <row r="71" ht="22.5" customHeight="1">
      <c r="A71" s="26">
        <f>IFERROR(__xludf.DUMMYFUNCTION("""COMPUTED_VALUE"""),46025.0)</f>
        <v>46025</v>
      </c>
      <c r="B71" s="27" t="str">
        <f>IFERROR(__xludf.DUMMYFUNCTION("""COMPUTED_VALUE"""),"CASH DEPOSIT-406584XXXXXX4354-PANCHKULA SECTOR 8 CHANDIGARH")</f>
        <v>CASH DEPOSIT-406584XXXXXX4354-PANCHKULA SECTOR 8 CHANDIGARH</v>
      </c>
      <c r="C71" s="28" t="str">
        <f>IFERROR(__xludf.DUMMYFUNCTION("""COMPUTED_VALUE"""),"Salary Credit")</f>
        <v>Salary Credit</v>
      </c>
      <c r="D71" s="15">
        <f>IFERROR(__xludf.DUMMYFUNCTION("""COMPUTED_VALUE"""),7000.0)</f>
        <v>7000</v>
      </c>
      <c r="E71" s="15">
        <f t="shared" si="1"/>
        <v>17109.69</v>
      </c>
    </row>
    <row r="72" ht="22.5" customHeight="1">
      <c r="A72" s="26">
        <f>IFERROR(__xludf.DUMMYFUNCTION("""COMPUTED_VALUE"""),46027.0)</f>
        <v>46027</v>
      </c>
      <c r="B72" s="27" t="str">
        <f>IFERROR(__xludf.DUMMYFUNCTION("""COMPUTED_VALUE"""),"UPI-XXXXXXXXXXX0010-IOBA0002083-277120614512-PAYMENT TO 2083330")</f>
        <v>UPI-XXXXXXXXXXX0010-IOBA0002083-277120614512-PAYMENT TO 2083330</v>
      </c>
      <c r="C72" s="28" t="str">
        <f>IFERROR(__xludf.DUMMYFUNCTION("""COMPUTED_VALUE"""),"Credit Card Expense")</f>
        <v>Credit Card Expense</v>
      </c>
      <c r="D72" s="15">
        <f>IFERROR(__xludf.DUMMYFUNCTION("""COMPUTED_VALUE"""),-2000.0)</f>
        <v>-2000</v>
      </c>
      <c r="E72" s="15">
        <f t="shared" si="1"/>
        <v>15109.69</v>
      </c>
    </row>
    <row r="73" ht="22.5" customHeight="1">
      <c r="A73" s="26">
        <f>IFERROR(__xludf.DUMMYFUNCTION("""COMPUTED_VALUE"""),46028.0)</f>
        <v>46028</v>
      </c>
      <c r="B73" s="27" t="str">
        <f>IFERROR(__xludf.DUMMYFUNCTION("""COMPUTED_VALUE"""),"POS 406584XXXXXX4354 PZ HDFC CC BILLP")</f>
        <v>POS 406584XXXXXX4354 PZ HDFC CC BILLP</v>
      </c>
      <c r="C73" s="28" t="str">
        <f>IFERROR(__xludf.DUMMYFUNCTION("""COMPUTED_VALUE"""),"Credit Card Expense")</f>
        <v>Credit Card Expense</v>
      </c>
      <c r="D73" s="15">
        <f>IFERROR(__xludf.DUMMYFUNCTION("""COMPUTED_VALUE"""),-328.23)</f>
        <v>-328.23</v>
      </c>
      <c r="E73" s="15">
        <f t="shared" si="1"/>
        <v>14781.46</v>
      </c>
    </row>
    <row r="74" ht="22.5" customHeight="1">
      <c r="A74" s="26">
        <f>IFERROR(__xludf.DUMMYFUNCTION("""COMPUTED_VALUE"""),46028.0)</f>
        <v>46028</v>
      </c>
      <c r="B74" s="27" t="str">
        <f>IFERROR(__xludf.DUMMYFUNCTION("""COMPUTED_VALUE"""),"A2AINT01-708950309-HDFC SECURITIES LTD-CLIENT DSCNB A/C")</f>
        <v>A2AINT01-708950309-HDFC SECURITIES LTD-CLIENT DSCNB A/C</v>
      </c>
      <c r="C74" s="28" t="str">
        <f>IFERROR(__xludf.DUMMYFUNCTION("""COMPUTED_VALUE"""),"Demat ")</f>
        <v>Demat </v>
      </c>
      <c r="D74" s="15">
        <f>IFERROR(__xludf.DUMMYFUNCTION("""COMPUTED_VALUE"""),3868.54)</f>
        <v>3868.54</v>
      </c>
      <c r="E74" s="15">
        <f t="shared" si="1"/>
        <v>18650</v>
      </c>
    </row>
    <row r="75" ht="22.5" customHeight="1">
      <c r="A75" s="26">
        <f>IFERROR(__xludf.DUMMYFUNCTION("""COMPUTED_VALUE"""),46028.0)</f>
        <v>46028</v>
      </c>
      <c r="B75" s="27" t="str">
        <f>IFERROR(__xludf.DUMMYFUNCTION("""COMPUTED_VALUE"""),"50100753732060-TPT-BROTHET TRANSFER-VAIBHAV AGARWAL")</f>
        <v>50100753732060-TPT-BROTHET TRANSFER-VAIBHAV AGARWAL</v>
      </c>
      <c r="C75" s="28" t="str">
        <f>IFERROR(__xludf.DUMMYFUNCTION("""COMPUTED_VALUE"""),"Living Expense")</f>
        <v>Living Expense</v>
      </c>
      <c r="D75" s="15">
        <f>IFERROR(__xludf.DUMMYFUNCTION("""COMPUTED_VALUE"""),-3000.0)</f>
        <v>-3000</v>
      </c>
      <c r="E75" s="15">
        <f t="shared" si="1"/>
        <v>15650</v>
      </c>
    </row>
    <row r="76" ht="22.5" customHeight="1">
      <c r="A76" s="26">
        <f>IFERROR(__xludf.DUMMYFUNCTION("""COMPUTED_VALUE"""),46028.0)</f>
        <v>46028</v>
      </c>
      <c r="B76" s="27" t="str">
        <f>IFERROR(__xludf.DUMMYFUNCTION("""COMPUTED_VALUE"""),"FD THROUGH MOBILE-50301274651842:SHASHANK AGARWAL")</f>
        <v>FD THROUGH MOBILE-50301274651842:SHASHANK AGARWAL</v>
      </c>
      <c r="C76" s="28" t="str">
        <f>IFERROR(__xludf.DUMMYFUNCTION("""COMPUTED_VALUE"""),"Living Expense")</f>
        <v>Living Expense</v>
      </c>
      <c r="D76" s="15">
        <f>IFERROR(__xludf.DUMMYFUNCTION("""COMPUTED_VALUE"""),-5650.0)</f>
        <v>-5650</v>
      </c>
      <c r="E76" s="15">
        <f t="shared" si="1"/>
        <v>10000</v>
      </c>
    </row>
    <row r="77" ht="22.5" customHeight="1">
      <c r="A77" s="26">
        <f>IFERROR(__xludf.DUMMYFUNCTION("""COMPUTED_VALUE"""),46030.0)</f>
        <v>46030</v>
      </c>
      <c r="B77" s="27" t="str">
        <f>IFERROR(__xludf.DUMMYFUNCTION("""COMPUTED_VALUE"""),"POS 406584XXXXXX4354 PZ HDFC CC BILLP")</f>
        <v>POS 406584XXXXXX4354 PZ HDFC CC BILLP</v>
      </c>
      <c r="C77" s="28" t="str">
        <f>IFERROR(__xludf.DUMMYFUNCTION("""COMPUTED_VALUE"""),"Credit Card Expense")</f>
        <v>Credit Card Expense</v>
      </c>
      <c r="D77" s="15">
        <f>IFERROR(__xludf.DUMMYFUNCTION("""COMPUTED_VALUE"""),-998.72)</f>
        <v>-998.72</v>
      </c>
      <c r="E77" s="15">
        <f t="shared" si="1"/>
        <v>9001.28</v>
      </c>
    </row>
    <row r="78" ht="22.5" customHeight="1">
      <c r="A78" s="26">
        <f>IFERROR(__xludf.DUMMYFUNCTION("""COMPUTED_VALUE"""),46030.0)</f>
        <v>46030</v>
      </c>
      <c r="B78" s="27" t="str">
        <f>IFERROR(__xludf.DUMMYFUNCTION("""COMPUTED_VALUE"""),"FT- 2379257203-57500000389159 - INDIAN CLEARING CORPORATION LIMITED -")</f>
        <v>FT- 2379257203-57500000389159 - INDIAN CLEARING CORPORATION LIMITED -</v>
      </c>
      <c r="C78" s="28" t="str">
        <f>IFERROR(__xludf.DUMMYFUNCTION("""COMPUTED_VALUE"""),"Demat ")</f>
        <v>Demat </v>
      </c>
      <c r="D78" s="15">
        <f>IFERROR(__xludf.DUMMYFUNCTION("""COMPUTED_VALUE"""),998.72)</f>
        <v>998.72</v>
      </c>
      <c r="E78" s="15">
        <f t="shared" si="1"/>
        <v>10000</v>
      </c>
    </row>
    <row r="79" ht="22.5" customHeight="1">
      <c r="A79" s="26">
        <f>IFERROR(__xludf.DUMMYFUNCTION("""COMPUTED_VALUE"""),46032.0)</f>
        <v>46032</v>
      </c>
      <c r="B79" s="27" t="str">
        <f>IFERROR(__xludf.DUMMYFUNCTION("""COMPUTED_VALUE"""),"PAYZAPP_W2A_CREDIT")</f>
        <v>PAYZAPP_W2A_CREDIT</v>
      </c>
      <c r="C79" s="28" t="str">
        <f>IFERROR(__xludf.DUMMYFUNCTION("""COMPUTED_VALUE"""),"Living Expense")</f>
        <v>Living Expense</v>
      </c>
      <c r="D79" s="15">
        <f>IFERROR(__xludf.DUMMYFUNCTION("""COMPUTED_VALUE"""),100.0)</f>
        <v>100</v>
      </c>
      <c r="E79" s="15">
        <f t="shared" si="1"/>
        <v>10100</v>
      </c>
    </row>
    <row r="80" ht="22.5" customHeight="1">
      <c r="A80" s="26">
        <f>IFERROR(__xludf.DUMMYFUNCTION("""COMPUTED_VALUE"""),46032.0)</f>
        <v>46032</v>
      </c>
      <c r="B80" s="27" t="str">
        <f>IFERROR(__xludf.DUMMYFUNCTION("""COMPUTED_VALUE"""),"UPI-GROWW INVEST TECH PR-GROWW.BRK@VALIDICICI-ICIC0DC0099-637639937426-PAID VIA ELEMENTS")</f>
        <v>UPI-GROWW INVEST TECH PR-GROWW.BRK@VALIDICICI-ICIC0DC0099-637639937426-PAID VIA ELEMENTS</v>
      </c>
      <c r="C80" s="28" t="str">
        <f>IFERROR(__xludf.DUMMYFUNCTION("""COMPUTED_VALUE"""),"Living Expense")</f>
        <v>Living Expense</v>
      </c>
      <c r="D80" s="15">
        <f>IFERROR(__xludf.DUMMYFUNCTION("""COMPUTED_VALUE"""),-100.0)</f>
        <v>-100</v>
      </c>
      <c r="E80" s="15">
        <f t="shared" si="1"/>
        <v>10000</v>
      </c>
    </row>
    <row r="81" ht="22.5" customHeight="1">
      <c r="A81" s="26">
        <f>IFERROR(__xludf.DUMMYFUNCTION("""COMPUTED_VALUE"""),46033.0)</f>
        <v>46033</v>
      </c>
      <c r="B81" s="27" t="str">
        <f>IFERROR(__xludf.DUMMYFUNCTION("""COMPUTED_VALUE"""),"POS 406584XXXXXX4354 PZ HDFC CC BILLP")</f>
        <v>POS 406584XXXXXX4354 PZ HDFC CC BILLP</v>
      </c>
      <c r="C81" s="28" t="str">
        <f>IFERROR(__xludf.DUMMYFUNCTION("""COMPUTED_VALUE"""),"Credit Card Expense")</f>
        <v>Credit Card Expense</v>
      </c>
      <c r="D81" s="15">
        <f>IFERROR(__xludf.DUMMYFUNCTION("""COMPUTED_VALUE"""),-1836.0)</f>
        <v>-1836</v>
      </c>
      <c r="E81" s="15">
        <f t="shared" si="1"/>
        <v>8164</v>
      </c>
    </row>
    <row r="82" ht="22.5" customHeight="1">
      <c r="A82" s="26">
        <f>IFERROR(__xludf.DUMMYFUNCTION("""COMPUTED_VALUE"""),46033.0)</f>
        <v>46033</v>
      </c>
      <c r="B82" s="27" t="str">
        <f>IFERROR(__xludf.DUMMYFUNCTION("""COMPUTED_VALUE"""),"UPI-BLACKBERRY ELLANTE C-PAYTM-63945637@PTYS-YESB0PTMUPI-867696352794-PAYMENT TO PAYTM 6")</f>
        <v>UPI-BLACKBERRY ELLANTE C-PAYTM-63945637@PTYS-YESB0PTMUPI-867696352794-PAYMENT TO PAYTM 6</v>
      </c>
      <c r="C82" s="28" t="str">
        <f>IFERROR(__xludf.DUMMYFUNCTION("""COMPUTED_VALUE"""),"Living Expense")</f>
        <v>Living Expense</v>
      </c>
      <c r="D82" s="15">
        <f>IFERROR(__xludf.DUMMYFUNCTION("""COMPUTED_VALUE"""),-164.0)</f>
        <v>-164</v>
      </c>
      <c r="E82" s="15">
        <f t="shared" si="1"/>
        <v>8000</v>
      </c>
    </row>
    <row r="83" ht="22.5" customHeight="1">
      <c r="A83" s="26">
        <f>IFERROR(__xludf.DUMMYFUNCTION("""COMPUTED_VALUE"""),46033.0)</f>
        <v>46033</v>
      </c>
      <c r="B83" s="27" t="str">
        <f>IFERROR(__xludf.DUMMYFUNCTION("""COMPUTED_VALUE"""),"UPI-VAIBHAV AGARWAL-8872725850@PZ-HDFC0000108-439416002523-REMARK")</f>
        <v>UPI-VAIBHAV AGARWAL-8872725850@PZ-HDFC0000108-439416002523-REMARK</v>
      </c>
      <c r="C83" s="28" t="str">
        <f>IFERROR(__xludf.DUMMYFUNCTION("""COMPUTED_VALUE"""),"Salary Credit")</f>
        <v>Salary Credit</v>
      </c>
      <c r="D83" s="15">
        <f>IFERROR(__xludf.DUMMYFUNCTION("""COMPUTED_VALUE"""),2000.0)</f>
        <v>2000</v>
      </c>
      <c r="E83" s="15">
        <f t="shared" si="1"/>
        <v>10000</v>
      </c>
    </row>
    <row r="84" ht="22.5" customHeight="1">
      <c r="A84" s="26">
        <f>IFERROR(__xludf.DUMMYFUNCTION("""COMPUTED_VALUE"""),46034.0)</f>
        <v>46034</v>
      </c>
      <c r="B84" s="27" t="str">
        <f>IFERROR(__xludf.DUMMYFUNCTION("""COMPUTED_VALUE"""),"FT- 453420707333-00990610005906 - NSE CLEARING - NORMAL SETTLEMENT ACCOUNT - MFS -")</f>
        <v>FT- 453420707333-00990610005906 - NSE CLEARING - NORMAL SETTLEMENT ACCOUNT - MFS -</v>
      </c>
      <c r="C84" s="28" t="str">
        <f>IFERROR(__xludf.DUMMYFUNCTION("""COMPUTED_VALUE"""),"Demat ")</f>
        <v>Demat </v>
      </c>
      <c r="D84" s="15">
        <f>IFERROR(__xludf.DUMMYFUNCTION("""COMPUTED_VALUE"""),9.98)</f>
        <v>9.98</v>
      </c>
      <c r="E84" s="15">
        <f t="shared" si="1"/>
        <v>10009.98</v>
      </c>
    </row>
    <row r="85" ht="22.5" customHeight="1">
      <c r="A85" s="26">
        <f>IFERROR(__xludf.DUMMYFUNCTION("""COMPUTED_VALUE"""),46034.0)</f>
        <v>46034</v>
      </c>
      <c r="B85" s="27" t="str">
        <f>IFERROR(__xludf.DUMMYFUNCTION("""COMPUTED_VALUE"""),"NEFT CR-UTIB0000052-GR0WW INVEST TECH PVT LTD - DSCNBA-SHASHANK AGARWAL-AXNH260120049548")</f>
        <v>NEFT CR-UTIB0000052-GR0WW INVEST TECH PVT LTD - DSCNBA-SHASHANK AGARWAL-AXNH260120049548</v>
      </c>
      <c r="C85" s="28" t="str">
        <f>IFERROR(__xludf.DUMMYFUNCTION("""COMPUTED_VALUE"""),"Living Expense")</f>
        <v>Living Expense</v>
      </c>
      <c r="D85" s="15">
        <f>IFERROR(__xludf.DUMMYFUNCTION("""COMPUTED_VALUE"""),100.0)</f>
        <v>100</v>
      </c>
      <c r="E85" s="15">
        <f t="shared" si="1"/>
        <v>10109.98</v>
      </c>
    </row>
    <row r="86" ht="22.5" customHeight="1">
      <c r="A86" s="26">
        <f>IFERROR(__xludf.DUMMYFUNCTION("""COMPUTED_VALUE"""),46036.0)</f>
        <v>46036</v>
      </c>
      <c r="B86" s="27" t="str">
        <f>IFERROR(__xludf.DUMMYFUNCTION("""COMPUTED_VALUE"""),"UPI-SBICAP SECURITIES LT-SBISECURITIES.RZP1.BRK@VALIDHDFC-HDFC0MERUPI-206088902958-PAYVIARAZORPAY")</f>
        <v>UPI-SBICAP SECURITIES LT-SBISECURITIES.RZP1.BRK@VALIDHDFC-HDFC0MERUPI-206088902958-PAYVIARAZORPAY</v>
      </c>
      <c r="C86" s="28" t="str">
        <f>IFERROR(__xludf.DUMMYFUNCTION("""COMPUTED_VALUE"""),"Demat ")</f>
        <v>Demat </v>
      </c>
      <c r="D86" s="15">
        <f>IFERROR(__xludf.DUMMYFUNCTION("""COMPUTED_VALUE"""),-100.0)</f>
        <v>-100</v>
      </c>
      <c r="E86" s="15">
        <f t="shared" si="1"/>
        <v>10009.98</v>
      </c>
    </row>
    <row r="87" ht="22.5" customHeight="1">
      <c r="A87" s="26">
        <f>IFERROR(__xludf.DUMMYFUNCTION("""COMPUTED_VALUE"""),46036.0)</f>
        <v>46036</v>
      </c>
      <c r="B87" s="27" t="str">
        <f>IFERROR(__xludf.DUMMYFUNCTION("""COMPUTED_VALUE"""),"UPI-SBI CAP SECURITIES L-YESPAY.BTTSXESF1CNR@YESBANKLTD-YESB0YESUPI-262120831070-ACCOUNT VERIFICATI")</f>
        <v>UPI-SBI CAP SECURITIES L-YESPAY.BTTSXESF1CNR@YESBANKLTD-YESB0YESUPI-262120831070-ACCOUNT VERIFICATI</v>
      </c>
      <c r="C87" s="28" t="str">
        <f>IFERROR(__xludf.DUMMYFUNCTION("""COMPUTED_VALUE"""),"Living Expense")</f>
        <v>Living Expense</v>
      </c>
      <c r="D87" s="15">
        <f>IFERROR(__xludf.DUMMYFUNCTION("""COMPUTED_VALUE"""),-1.0)</f>
        <v>-1</v>
      </c>
      <c r="E87" s="15">
        <f t="shared" si="1"/>
        <v>10008.98</v>
      </c>
    </row>
    <row r="88" ht="22.5" customHeight="1">
      <c r="A88" s="26">
        <f>IFERROR(__xludf.DUMMYFUNCTION("""COMPUTED_VALUE"""),46037.0)</f>
        <v>46037</v>
      </c>
      <c r="B88" s="27" t="str">
        <f>IFERROR(__xludf.DUMMYFUNCTION("""COMPUTED_VALUE"""),"POS 406584XXXXXX4354 PZ HDFC CC BILLP")</f>
        <v>POS 406584XXXXXX4354 PZ HDFC CC BILLP</v>
      </c>
      <c r="C88" s="28" t="str">
        <f>IFERROR(__xludf.DUMMYFUNCTION("""COMPUTED_VALUE"""),"Credit Card Expense")</f>
        <v>Credit Card Expense</v>
      </c>
      <c r="D88" s="15">
        <f>IFERROR(__xludf.DUMMYFUNCTION("""COMPUTED_VALUE"""),-3456.15)</f>
        <v>-3456.15</v>
      </c>
      <c r="E88" s="15">
        <f t="shared" si="1"/>
        <v>6552.83</v>
      </c>
    </row>
    <row r="89" ht="22.5" customHeight="1">
      <c r="A89" s="26">
        <f>IFERROR(__xludf.DUMMYFUNCTION("""COMPUTED_VALUE"""),46038.0)</f>
        <v>46038</v>
      </c>
      <c r="B89" s="27" t="str">
        <f>IFERROR(__xludf.DUMMYFUNCTION("""COMPUTED_VALUE"""),"UPI-PZ HDFC CC BILLPAY-PZHDFCCCBILLPAY.75104155@HDFCBANK-HDFC0MERUPI-061416904896-EMPTY NOTE")</f>
        <v>UPI-PZ HDFC CC BILLPAY-PZHDFCCCBILLPAY.75104155@HDFCBANK-HDFC0MERUPI-061416904896-EMPTY NOTE</v>
      </c>
      <c r="C89" s="28" t="str">
        <f>IFERROR(__xludf.DUMMYFUNCTION("""COMPUTED_VALUE"""),"Credit Card Expense")</f>
        <v>Credit Card Expense</v>
      </c>
      <c r="D89" s="15">
        <f>IFERROR(__xludf.DUMMYFUNCTION("""COMPUTED_VALUE"""),-11256.84)</f>
        <v>-11256.84</v>
      </c>
      <c r="E89" s="15">
        <f t="shared" si="1"/>
        <v>-4704.01</v>
      </c>
    </row>
    <row r="90" ht="22.5" customHeight="1">
      <c r="A90" s="26">
        <f>IFERROR(__xludf.DUMMYFUNCTION("""COMPUTED_VALUE"""),46038.0)</f>
        <v>46038</v>
      </c>
      <c r="B90" s="27" t="str">
        <f>IFERROR(__xludf.DUMMYFUNCTION("""COMPUTED_VALUE"""),"UPI-SBICAP SECURITIES LT-SBISECURITIES.RZP1.BRK@VALIDHDFC-HDFC0MERUPI-944360021031-PAYVIARAZORPAY")</f>
        <v>UPI-SBICAP SECURITIES LT-SBISECURITIES.RZP1.BRK@VALIDHDFC-HDFC0MERUPI-944360021031-PAYVIARAZORPAY</v>
      </c>
      <c r="C90" s="28" t="str">
        <f>IFERROR(__xludf.DUMMYFUNCTION("""COMPUTED_VALUE"""),"Demat ")</f>
        <v>Demat </v>
      </c>
      <c r="D90" s="15">
        <f>IFERROR(__xludf.DUMMYFUNCTION("""COMPUTED_VALUE"""),-960.99)</f>
        <v>-960.99</v>
      </c>
      <c r="E90" s="15">
        <f t="shared" si="1"/>
        <v>-5665</v>
      </c>
    </row>
    <row r="91" ht="22.5" customHeight="1">
      <c r="A91" s="26">
        <f>IFERROR(__xludf.DUMMYFUNCTION("""COMPUTED_VALUE"""),46038.0)</f>
        <v>46038</v>
      </c>
      <c r="B91" s="27" t="str">
        <f>IFERROR(__xludf.DUMMYFUNCTION("""COMPUTED_VALUE"""),"FD THROUGH MOBILE-50301280200150:SHASHANK AGARWAL")</f>
        <v>FD THROUGH MOBILE-50301280200150:SHASHANK AGARWAL</v>
      </c>
      <c r="C91" s="28" t="str">
        <f>IFERROR(__xludf.DUMMYFUNCTION("""COMPUTED_VALUE"""),"Living Expense")</f>
        <v>Living Expense</v>
      </c>
      <c r="D91" s="15">
        <f>IFERROR(__xludf.DUMMYFUNCTION("""COMPUTED_VALUE"""),-15000.0)</f>
        <v>-15000</v>
      </c>
      <c r="E91" s="15">
        <f t="shared" si="1"/>
        <v>-20665</v>
      </c>
    </row>
    <row r="92" ht="22.5" customHeight="1">
      <c r="A92" s="26">
        <f>IFERROR(__xludf.DUMMYFUNCTION("""COMPUTED_VALUE"""),46038.0)</f>
        <v>46038</v>
      </c>
      <c r="B92" s="27" t="str">
        <f>IFERROR(__xludf.DUMMYFUNCTION("""COMPUTED_VALUE"""),"INTEREST CREDIT 50301274651842")</f>
        <v>INTEREST CREDIT 50301274651842</v>
      </c>
      <c r="C92" s="28" t="str">
        <f>IFERROR(__xludf.DUMMYFUNCTION("""COMPUTED_VALUE"""),"Living Expense")</f>
        <v>Living Expense</v>
      </c>
      <c r="D92" s="15">
        <f>IFERROR(__xludf.DUMMYFUNCTION("""COMPUTED_VALUE"""),4.0)</f>
        <v>4</v>
      </c>
      <c r="E92" s="15">
        <f t="shared" si="1"/>
        <v>-20661</v>
      </c>
    </row>
    <row r="93" ht="22.5" customHeight="1">
      <c r="A93" s="26">
        <f>IFERROR(__xludf.DUMMYFUNCTION("""COMPUTED_VALUE"""),46038.0)</f>
        <v>46038</v>
      </c>
      <c r="B93" s="27" t="str">
        <f>IFERROR(__xludf.DUMMYFUNCTION("""COMPUTED_VALUE"""),"PRIN AND INT AUTO_REDEEM 50301274651842")</f>
        <v>PRIN AND INT AUTO_REDEEM 50301274651842</v>
      </c>
      <c r="C93" s="28" t="str">
        <f>IFERROR(__xludf.DUMMYFUNCTION("""COMPUTED_VALUE"""),"Living Expense")</f>
        <v>Living Expense</v>
      </c>
      <c r="D93" s="15">
        <f>IFERROR(__xludf.DUMMYFUNCTION("""COMPUTED_VALUE"""),5650.0)</f>
        <v>5650</v>
      </c>
      <c r="E93" s="15">
        <f t="shared" si="1"/>
        <v>-15011</v>
      </c>
    </row>
    <row r="94" ht="22.5" customHeight="1">
      <c r="A94" s="26">
        <f>IFERROR(__xludf.DUMMYFUNCTION("""COMPUTED_VALUE"""),46038.0)</f>
        <v>46038</v>
      </c>
      <c r="B94" s="27" t="str">
        <f>IFERROR(__xludf.DUMMYFUNCTION("""COMPUTED_VALUE"""),"NEFT CR-SBIN0005397-ELECON INDUSTRIES-SHASHANK AGARWAL JI-SBIN326016050645")</f>
        <v>NEFT CR-SBIN0005397-ELECON INDUSTRIES-SHASHANK AGARWAL JI-SBIN326016050645</v>
      </c>
      <c r="C94" s="28" t="str">
        <f>IFERROR(__xludf.DUMMYFUNCTION("""COMPUTED_VALUE"""),"Salary Credit")</f>
        <v>Salary Credit</v>
      </c>
      <c r="D94" s="15">
        <f>IFERROR(__xludf.DUMMYFUNCTION("""COMPUTED_VALUE"""),25000.0)</f>
        <v>25000</v>
      </c>
      <c r="E94" s="15">
        <f t="shared" si="1"/>
        <v>9989</v>
      </c>
    </row>
    <row r="95" ht="22.5" customHeight="1">
      <c r="A95" s="26">
        <f>IFERROR(__xludf.DUMMYFUNCTION("""COMPUTED_VALUE"""),46038.0)</f>
        <v>46038</v>
      </c>
      <c r="B95" s="27" t="str">
        <f>IFERROR(__xludf.DUMMYFUNCTION("""COMPUTED_VALUE"""),"PAYZAPP_W2A_CREDIT")</f>
        <v>PAYZAPP_W2A_CREDIT</v>
      </c>
      <c r="C95" s="28" t="str">
        <f>IFERROR(__xludf.DUMMYFUNCTION("""COMPUTED_VALUE"""),"Salary Credit")</f>
        <v>Salary Credit</v>
      </c>
      <c r="D95" s="15">
        <f>IFERROR(__xludf.DUMMYFUNCTION("""COMPUTED_VALUE"""),11.0)</f>
        <v>11</v>
      </c>
      <c r="E95" s="15">
        <f t="shared" si="1"/>
        <v>10000</v>
      </c>
    </row>
    <row r="96" ht="22.5" customHeight="1">
      <c r="A96" s="26">
        <f>IFERROR(__xludf.DUMMYFUNCTION("""COMPUTED_VALUE"""),46039.0)</f>
        <v>46039</v>
      </c>
      <c r="B96" s="27" t="str">
        <f>IFERROR(__xludf.DUMMYFUNCTION("""COMPUTED_VALUE"""),"POS 406584XXXXXX4354 PZ HDFC CC BILLP")</f>
        <v>POS 406584XXXXXX4354 PZ HDFC CC BILLP</v>
      </c>
      <c r="C96" s="28" t="str">
        <f>IFERROR(__xludf.DUMMYFUNCTION("""COMPUTED_VALUE"""),"Credit Card Expense")</f>
        <v>Credit Card Expense</v>
      </c>
      <c r="D96" s="15">
        <f>IFERROR(__xludf.DUMMYFUNCTION("""COMPUTED_VALUE"""),-50.0)</f>
        <v>-50</v>
      </c>
      <c r="E96" s="15">
        <f t="shared" si="1"/>
        <v>9950</v>
      </c>
    </row>
    <row r="97" ht="22.5" customHeight="1">
      <c r="A97" s="26">
        <f>IFERROR(__xludf.DUMMYFUNCTION("""COMPUTED_VALUE"""),46039.0)</f>
        <v>46039</v>
      </c>
      <c r="B97" s="27" t="str">
        <f>IFERROR(__xludf.DUMMYFUNCTION("""COMPUTED_VALUE"""),"UPIRET-262120831070-14012026")</f>
        <v>UPIRET-262120831070-14012026</v>
      </c>
      <c r="C97" s="28" t="str">
        <f>IFERROR(__xludf.DUMMYFUNCTION("""COMPUTED_VALUE"""),"Salary Credit")</f>
        <v>Salary Credit</v>
      </c>
      <c r="D97" s="15">
        <f>IFERROR(__xludf.DUMMYFUNCTION("""COMPUTED_VALUE"""),1.0)</f>
        <v>1</v>
      </c>
      <c r="E97" s="15">
        <f t="shared" si="1"/>
        <v>9951</v>
      </c>
    </row>
    <row r="98" ht="22.5" customHeight="1">
      <c r="A98" s="26">
        <f>IFERROR(__xludf.DUMMYFUNCTION("""COMPUTED_VALUE"""),46039.0)</f>
        <v>46039</v>
      </c>
      <c r="B98" s="27" t="str">
        <f>IFERROR(__xludf.DUMMYFUNCTION("""COMPUTED_VALUE"""),"IMPS-601790803229-API BANKING EB-NESF-XXXXXXXXXXXXXXXX6172-PAYOUT")</f>
        <v>IMPS-601790803229-API BANKING EB-NESF-XXXXXXXXXXXXXXXX6172-PAYOUT</v>
      </c>
      <c r="C98" s="28" t="str">
        <f>IFERROR(__xludf.DUMMYFUNCTION("""COMPUTED_VALUE"""),"Salary Credit")</f>
        <v>Salary Credit</v>
      </c>
      <c r="D98" s="15">
        <f>IFERROR(__xludf.DUMMYFUNCTION("""COMPUTED_VALUE"""),1.0)</f>
        <v>1</v>
      </c>
      <c r="E98" s="15">
        <f t="shared" si="1"/>
        <v>9952</v>
      </c>
    </row>
    <row r="99" ht="22.5" customHeight="1">
      <c r="A99" s="26">
        <f>IFERROR(__xludf.DUMMYFUNCTION("""COMPUTED_VALUE"""),46039.0)</f>
        <v>46039</v>
      </c>
      <c r="B99" s="27" t="str">
        <f>IFERROR(__xludf.DUMMYFUNCTION("""COMPUTED_VALUE"""),"IB FD PREMAT PRINCIPAL-50301280200150")</f>
        <v>IB FD PREMAT PRINCIPAL-50301280200150</v>
      </c>
      <c r="C99" s="28" t="str">
        <f>IFERROR(__xludf.DUMMYFUNCTION("""COMPUTED_VALUE"""),"Salary Credit")</f>
        <v>Salary Credit</v>
      </c>
      <c r="D99" s="15">
        <f>IFERROR(__xludf.DUMMYFUNCTION("""COMPUTED_VALUE"""),15000.0)</f>
        <v>15000</v>
      </c>
      <c r="E99" s="15">
        <f t="shared" si="1"/>
        <v>24952</v>
      </c>
    </row>
    <row r="100" ht="22.5" customHeight="1">
      <c r="A100" s="26">
        <f>IFERROR(__xludf.DUMMYFUNCTION("""COMPUTED_VALUE"""),46039.0)</f>
        <v>46039</v>
      </c>
      <c r="B100" s="27" t="str">
        <f>IFERROR(__xludf.DUMMYFUNCTION("""COMPUTED_VALUE"""),"IMPS-601792810899-API BANKING EB-NULL-XXXXXXXXXXXXXXXX6172-PAYOUT")</f>
        <v>IMPS-601792810899-API BANKING EB-NULL-XXXXXXXXXXXXXXXX6172-PAYOUT</v>
      </c>
      <c r="C100" s="28" t="str">
        <f>IFERROR(__xludf.DUMMYFUNCTION("""COMPUTED_VALUE"""),"Salary Credit")</f>
        <v>Salary Credit</v>
      </c>
      <c r="D100" s="15">
        <f>IFERROR(__xludf.DUMMYFUNCTION("""COMPUTED_VALUE"""),1.0)</f>
        <v>1</v>
      </c>
      <c r="E100" s="15">
        <f t="shared" si="1"/>
        <v>24953</v>
      </c>
    </row>
    <row r="101" ht="22.5" customHeight="1">
      <c r="A101" s="26">
        <f>IFERROR(__xludf.DUMMYFUNCTION("""COMPUTED_VALUE"""),46039.0)</f>
        <v>46039</v>
      </c>
      <c r="B101" s="27" t="str">
        <f>IFERROR(__xludf.DUMMYFUNCTION("""COMPUTED_VALUE"""),"UPI-IDFC FIRST BANK-IDFCFIRSTBANK563072.RZP@RXAIRTEL-AIRP0000011-601796276661-IDFCFIRSTBANK")</f>
        <v>UPI-IDFC FIRST BANK-IDFCFIRSTBANK563072.RZP@RXAIRTEL-AIRP0000011-601796276661-IDFCFIRSTBANK</v>
      </c>
      <c r="C101" s="28" t="str">
        <f>IFERROR(__xludf.DUMMYFUNCTION("""COMPUTED_VALUE"""),"Living Expense")</f>
        <v>Living Expense</v>
      </c>
      <c r="D101" s="15">
        <f>IFERROR(__xludf.DUMMYFUNCTION("""COMPUTED_VALUE"""),-10000.0)</f>
        <v>-10000</v>
      </c>
      <c r="E101" s="15">
        <f t="shared" si="1"/>
        <v>14953</v>
      </c>
    </row>
    <row r="102" ht="22.5" customHeight="1">
      <c r="A102" s="26">
        <f>IFERROR(__xludf.DUMMYFUNCTION("""COMPUTED_VALUE"""),46040.0)</f>
        <v>46040</v>
      </c>
      <c r="B102" s="27" t="str">
        <f>IFERROR(__xludf.DUMMYFUNCTION("""COMPUTED_VALUE"""),"IB BILLPAY DR-HDFCEL-457704XXXXXX1130")</f>
        <v>IB BILLPAY DR-HDFCEL-457704XXXXXX1130</v>
      </c>
      <c r="C102" s="28" t="str">
        <f>IFERROR(__xludf.DUMMYFUNCTION("""COMPUTED_VALUE"""),"Credit Card Expense")</f>
        <v>Credit Card Expense</v>
      </c>
      <c r="D102" s="15">
        <f>IFERROR(__xludf.DUMMYFUNCTION("""COMPUTED_VALUE"""),-9.0)</f>
        <v>-9</v>
      </c>
      <c r="E102" s="15">
        <f t="shared" si="1"/>
        <v>14944</v>
      </c>
    </row>
    <row r="103" ht="22.5" customHeight="1">
      <c r="A103" s="26">
        <f>IFERROR(__xludf.DUMMYFUNCTION("""COMPUTED_VALUE"""),46040.0)</f>
        <v>46040</v>
      </c>
      <c r="B103" s="27" t="str">
        <f>IFERROR(__xludf.DUMMYFUNCTION("""COMPUTED_VALUE"""),"UPI-CREDIT CARD BILL PAY-CCBILLPAY.18948534@IDFCBANK-IDFB0040101-601897179258-UPI")</f>
        <v>UPI-CREDIT CARD BILL PAY-CCBILLPAY.18948534@IDFCBANK-IDFB0040101-601897179258-UPI</v>
      </c>
      <c r="C103" s="28" t="str">
        <f>IFERROR(__xludf.DUMMYFUNCTION("""COMPUTED_VALUE"""),"Credit Card Expense")</f>
        <v>Credit Card Expense</v>
      </c>
      <c r="D103" s="15">
        <f>IFERROR(__xludf.DUMMYFUNCTION("""COMPUTED_VALUE"""),-199.0)</f>
        <v>-199</v>
      </c>
      <c r="E103" s="15">
        <f t="shared" si="1"/>
        <v>14745</v>
      </c>
    </row>
    <row r="104" ht="22.5" customHeight="1">
      <c r="A104" s="26">
        <f>IFERROR(__xludf.DUMMYFUNCTION("""COMPUTED_VALUE"""),46041.0)</f>
        <v>46041</v>
      </c>
      <c r="B104" s="27" t="str">
        <f>IFERROR(__xludf.DUMMYFUNCTION("""COMPUTED_VALUE"""),"UPI-SBICAP SECURITIES LT-SBISECURITIES.RZP1.BRK@VALIDHDFC-HDFC0MERUPI-601997949951-PAYVIARAZORPAY")</f>
        <v>UPI-SBICAP SECURITIES LT-SBISECURITIES.RZP1.BRK@VALIDHDFC-HDFC0MERUPI-601997949951-PAYVIARAZORPAY</v>
      </c>
      <c r="C104" s="28" t="str">
        <f>IFERROR(__xludf.DUMMYFUNCTION("""COMPUTED_VALUE"""),"Demat ")</f>
        <v>Demat </v>
      </c>
      <c r="D104" s="15">
        <f>IFERROR(__xludf.DUMMYFUNCTION("""COMPUTED_VALUE"""),-2500.0)</f>
        <v>-2500</v>
      </c>
      <c r="E104" s="15">
        <f t="shared" si="1"/>
        <v>12245</v>
      </c>
    </row>
    <row r="105" ht="22.5" customHeight="1">
      <c r="A105" s="26">
        <f>IFERROR(__xludf.DUMMYFUNCTION("""COMPUTED_VALUE"""),46041.0)</f>
        <v>46041</v>
      </c>
      <c r="B105" s="27" t="str">
        <f>IFERROR(__xludf.DUMMYFUNCTION("""COMPUTED_VALUE"""),"UPI-AMAZON PAY BILL PAYM-AMAZONBILLPAYMENTGPRRCCUPI@APL-UTIB0000100-601998584057-REQUEST FROM AMAZO")</f>
        <v>UPI-AMAZON PAY BILL PAYM-AMAZONBILLPAYMENTGPRRCCUPI@APL-UTIB0000100-601998584057-REQUEST FROM AMAZO</v>
      </c>
      <c r="C105" s="28" t="str">
        <f>IFERROR(__xludf.DUMMYFUNCTION("""COMPUTED_VALUE"""),"Living Expense")</f>
        <v>Living Expense</v>
      </c>
      <c r="D105" s="15">
        <f>IFERROR(__xludf.DUMMYFUNCTION("""COMPUTED_VALUE"""),-390.0)</f>
        <v>-390</v>
      </c>
      <c r="E105" s="15">
        <f t="shared" si="1"/>
        <v>11855</v>
      </c>
    </row>
    <row r="106" ht="22.5" customHeight="1">
      <c r="A106" s="26">
        <f>IFERROR(__xludf.DUMMYFUNCTION("""COMPUTED_VALUE"""),46042.0)</f>
        <v>46042</v>
      </c>
      <c r="B106" s="27" t="str">
        <f>IFERROR(__xludf.DUMMYFUNCTION("""COMPUTED_VALUE"""),"UPI-SBICAP SECURITIES LT-SBISECURITIES.RZP1.BRK@VALIDHDFC-HDFC0MERUPI-602099490871-PAYVIARAZORPAY")</f>
        <v>UPI-SBICAP SECURITIES LT-SBISECURITIES.RZP1.BRK@VALIDHDFC-HDFC0MERUPI-602099490871-PAYVIARAZORPAY</v>
      </c>
      <c r="C106" s="28" t="str">
        <f>IFERROR(__xludf.DUMMYFUNCTION("""COMPUTED_VALUE"""),"Demat ")</f>
        <v>Demat </v>
      </c>
      <c r="D106" s="15">
        <f>IFERROR(__xludf.DUMMYFUNCTION("""COMPUTED_VALUE"""),-855.0)</f>
        <v>-855</v>
      </c>
      <c r="E106" s="15">
        <f t="shared" si="1"/>
        <v>11000</v>
      </c>
    </row>
    <row r="107" ht="22.5" customHeight="1">
      <c r="A107" s="26">
        <f>IFERROR(__xludf.DUMMYFUNCTION("""COMPUTED_VALUE"""),46042.0)</f>
        <v>46042</v>
      </c>
      <c r="B107" s="27" t="str">
        <f>IFERROR(__xludf.DUMMYFUNCTION("""COMPUTED_VALUE"""),"UPI-SBICAP SECURITIES LT-SBISECURITIES.RZP1.BRK@VALIDHDFC-HDFC0MERUPI-602099625935-PAYVIARAZORPAY")</f>
        <v>UPI-SBICAP SECURITIES LT-SBISECURITIES.RZP1.BRK@VALIDHDFC-HDFC0MERUPI-602099625935-PAYVIARAZORPAY</v>
      </c>
      <c r="C107" s="28" t="str">
        <f>IFERROR(__xludf.DUMMYFUNCTION("""COMPUTED_VALUE"""),"Demat ")</f>
        <v>Demat </v>
      </c>
      <c r="D107" s="15">
        <f>IFERROR(__xludf.DUMMYFUNCTION("""COMPUTED_VALUE"""),-1000.0)</f>
        <v>-1000</v>
      </c>
      <c r="E107" s="15">
        <f t="shared" si="1"/>
        <v>10000</v>
      </c>
    </row>
    <row r="108" ht="22.5" customHeight="1">
      <c r="A108" s="26">
        <f>IFERROR(__xludf.DUMMYFUNCTION("""COMPUTED_VALUE"""),46042.0)</f>
        <v>46042</v>
      </c>
      <c r="B108" s="27" t="str">
        <f>IFERROR(__xludf.DUMMYFUNCTION("""COMPUTED_VALUE"""),"FT - - CCIL_NONFINANCIAL - 57500001243145 - THE CLEARING CORPORATION OF INDIA LIMITE")</f>
        <v>FT - - CCIL_NONFINANCIAL - 57500001243145 - THE CLEARING CORPORATION OF INDIA LIMITE</v>
      </c>
      <c r="C108" s="28" t="str">
        <f>IFERROR(__xludf.DUMMYFUNCTION("""COMPUTED_VALUE"""),"Salary Credit")</f>
        <v>Salary Credit</v>
      </c>
      <c r="D108" s="15">
        <f>IFERROR(__xludf.DUMMYFUNCTION("""COMPUTED_VALUE"""),1.0)</f>
        <v>1</v>
      </c>
      <c r="E108" s="15">
        <f t="shared" si="1"/>
        <v>10001</v>
      </c>
    </row>
    <row r="109" ht="22.5" customHeight="1">
      <c r="A109" s="26">
        <f>IFERROR(__xludf.DUMMYFUNCTION("""COMPUTED_VALUE"""),46043.0)</f>
        <v>46043</v>
      </c>
      <c r="B109" s="27" t="str">
        <f>IFERROR(__xludf.DUMMYFUNCTION("""COMPUTED_VALUE"""),"A2AINT01-713934442-HDFC SECURITIES LTD-CLIENT DSCNB A/C")</f>
        <v>A2AINT01-713934442-HDFC SECURITIES LTD-CLIENT DSCNB A/C</v>
      </c>
      <c r="C109" s="28" t="str">
        <f>IFERROR(__xludf.DUMMYFUNCTION("""COMPUTED_VALUE"""),"Salary Credit")</f>
        <v>Salary Credit</v>
      </c>
      <c r="D109" s="15">
        <f>IFERROR(__xludf.DUMMYFUNCTION("""COMPUTED_VALUE"""),4583.7)</f>
        <v>4583.7</v>
      </c>
      <c r="E109" s="15">
        <f t="shared" si="1"/>
        <v>14584.7</v>
      </c>
    </row>
    <row r="110" ht="22.5" customHeight="1">
      <c r="A110" s="26">
        <f>IFERROR(__xludf.DUMMYFUNCTION("""COMPUTED_VALUE"""),46043.0)</f>
        <v>46043</v>
      </c>
      <c r="B110" s="27" t="str">
        <f>IFERROR(__xludf.DUMMYFUNCTION("""COMPUTED_VALUE"""),"UPI-SBICAP SECURITIES LT-SBISECURITIES.RZP1.BRK@VALIDHDFC-HDFC0MERUPI-602100478240-PAYVIARAZORPAY")</f>
        <v>UPI-SBICAP SECURITIES LT-SBISECURITIES.RZP1.BRK@VALIDHDFC-HDFC0MERUPI-602100478240-PAYVIARAZORPAY</v>
      </c>
      <c r="C110" s="28" t="str">
        <f>IFERROR(__xludf.DUMMYFUNCTION("""COMPUTED_VALUE"""),"Demat ")</f>
        <v>Demat </v>
      </c>
      <c r="D110" s="15">
        <f>IFERROR(__xludf.DUMMYFUNCTION("""COMPUTED_VALUE"""),-1500.0)</f>
        <v>-1500</v>
      </c>
      <c r="E110" s="15">
        <f t="shared" si="1"/>
        <v>13084.7</v>
      </c>
    </row>
    <row r="111" ht="22.5" customHeight="1">
      <c r="A111" s="26">
        <f>IFERROR(__xludf.DUMMYFUNCTION("""COMPUTED_VALUE"""),46043.0)</f>
        <v>46043</v>
      </c>
      <c r="B111" s="27" t="str">
        <f>IFERROR(__xludf.DUMMYFUNCTION("""COMPUTED_VALUE"""),"UPI-CREDIT CARD BILL PAY-CCBILLPAY.18948534@IDFCBANK-IDFB0040101-602100483488-UPI")</f>
        <v>UPI-CREDIT CARD BILL PAY-CCBILLPAY.18948534@IDFCBANK-IDFB0040101-602100483488-UPI</v>
      </c>
      <c r="C111" s="28" t="str">
        <f>IFERROR(__xludf.DUMMYFUNCTION("""COMPUTED_VALUE"""),"Credit Card Expense")</f>
        <v>Credit Card Expense</v>
      </c>
      <c r="D111" s="15">
        <f>IFERROR(__xludf.DUMMYFUNCTION("""COMPUTED_VALUE"""),-3533.45)</f>
        <v>-3533.45</v>
      </c>
      <c r="E111" s="15">
        <f t="shared" si="1"/>
        <v>9551.25</v>
      </c>
    </row>
    <row r="112" ht="22.5" customHeight="1">
      <c r="A112" s="26">
        <f>IFERROR(__xludf.DUMMYFUNCTION("""COMPUTED_VALUE"""),46043.0)</f>
        <v>46043</v>
      </c>
      <c r="B112" s="27" t="str">
        <f>IFERROR(__xludf.DUMMYFUNCTION("""COMPUTED_VALUE"""),"NET PI TO HSL SEC A/C 6960363-00602340029444")</f>
        <v>NET PI TO HSL SEC A/C 6960363-00602340029444</v>
      </c>
      <c r="C112" s="28" t="str">
        <f>IFERROR(__xludf.DUMMYFUNCTION("""COMPUTED_VALUE"""),"Demat ")</f>
        <v>Demat </v>
      </c>
      <c r="D112" s="15">
        <f>IFERROR(__xludf.DUMMYFUNCTION("""COMPUTED_VALUE"""),-165.0)</f>
        <v>-165</v>
      </c>
      <c r="E112" s="15">
        <f t="shared" si="1"/>
        <v>9386.25</v>
      </c>
    </row>
    <row r="113" ht="22.5" customHeight="1">
      <c r="A113" s="26">
        <f>IFERROR(__xludf.DUMMYFUNCTION("""COMPUTED_VALUE"""),46044.0)</f>
        <v>46044</v>
      </c>
      <c r="B113" s="27" t="str">
        <f>IFERROR(__xludf.DUMMYFUNCTION("""COMPUTED_VALUE"""),"NET PI TO HSL SEC A/C 6960363-00602340029444")</f>
        <v>NET PI TO HSL SEC A/C 6960363-00602340029444</v>
      </c>
      <c r="C113" s="28" t="str">
        <f>IFERROR(__xludf.DUMMYFUNCTION("""COMPUTED_VALUE"""),"Demat ")</f>
        <v>Demat </v>
      </c>
      <c r="D113" s="15">
        <f>IFERROR(__xludf.DUMMYFUNCTION("""COMPUTED_VALUE"""),-94.0)</f>
        <v>-94</v>
      </c>
      <c r="E113" s="15">
        <f t="shared" si="1"/>
        <v>9292.25</v>
      </c>
    </row>
    <row r="114" ht="22.5" customHeight="1">
      <c r="A114" s="26">
        <f>IFERROR(__xludf.DUMMYFUNCTION("""COMPUTED_VALUE"""),46044.0)</f>
        <v>46044</v>
      </c>
      <c r="B114" s="27" t="str">
        <f>IFERROR(__xludf.DUMMYFUNCTION("""COMPUTED_VALUE"""),"UPI-VAIBHAV AGARWAL-VAIBHAV02032006@OKHDFCBANK-HDFC0000108-602229180474-PAID VIA SUPERMONE")</f>
        <v>UPI-VAIBHAV AGARWAL-VAIBHAV02032006@OKHDFCBANK-HDFC0000108-602229180474-PAID VIA SUPERMONE</v>
      </c>
      <c r="C114" s="28" t="str">
        <f>IFERROR(__xludf.DUMMYFUNCTION("""COMPUTED_VALUE"""),"Living Expense")</f>
        <v>Living Expense</v>
      </c>
      <c r="D114" s="15">
        <f>IFERROR(__xludf.DUMMYFUNCTION("""COMPUTED_VALUE"""),-1.0)</f>
        <v>-1</v>
      </c>
      <c r="E114" s="15">
        <f t="shared" si="1"/>
        <v>9291.25</v>
      </c>
    </row>
    <row r="115" ht="22.5" customHeight="1">
      <c r="A115" s="26">
        <f>IFERROR(__xludf.DUMMYFUNCTION("""COMPUTED_VALUE"""),46046.0)</f>
        <v>46046</v>
      </c>
      <c r="B115" s="27" t="str">
        <f>IFERROR(__xludf.DUMMYFUNCTION("""COMPUTED_VALUE"""),"CREDIT BALANCE REFUND- CLOSED CARD -7633")</f>
        <v>CREDIT BALANCE REFUND- CLOSED CARD -7633</v>
      </c>
      <c r="C115" s="28" t="str">
        <f>IFERROR(__xludf.DUMMYFUNCTION("""COMPUTED_VALUE"""),"Salary Credit")</f>
        <v>Salary Credit</v>
      </c>
      <c r="D115" s="15">
        <f>IFERROR(__xludf.DUMMYFUNCTION("""COMPUTED_VALUE"""),2.0)</f>
        <v>2</v>
      </c>
      <c r="E115" s="15">
        <f t="shared" si="1"/>
        <v>9293.25</v>
      </c>
    </row>
    <row r="116" ht="22.5" customHeight="1">
      <c r="A116" s="26">
        <f>IFERROR(__xludf.DUMMYFUNCTION("""COMPUTED_VALUE"""),46049.0)</f>
        <v>46049</v>
      </c>
      <c r="B116" s="27" t="str">
        <f>IFERROR(__xludf.DUMMYFUNCTION("""COMPUTED_VALUE"""),"UPI-VAIBHAV AGARWAL-8872725850@SUPERYES-HDFC0000108-639342305244-PAID VIA SUPERMONE")</f>
        <v>UPI-VAIBHAV AGARWAL-8872725850@SUPERYES-HDFC0000108-639342305244-PAID VIA SUPERMONE</v>
      </c>
      <c r="C116" s="28" t="str">
        <f>IFERROR(__xludf.DUMMYFUNCTION("""COMPUTED_VALUE"""),"Salary Credit")</f>
        <v>Salary Credit</v>
      </c>
      <c r="D116" s="15">
        <f>IFERROR(__xludf.DUMMYFUNCTION("""COMPUTED_VALUE"""),100.0)</f>
        <v>100</v>
      </c>
      <c r="E116" s="15">
        <f t="shared" si="1"/>
        <v>9393.25</v>
      </c>
    </row>
    <row r="117" ht="22.5" customHeight="1">
      <c r="A117" s="26">
        <f>IFERROR(__xludf.DUMMYFUNCTION("""COMPUTED_VALUE"""),46050.0)</f>
        <v>46050</v>
      </c>
      <c r="B117" s="27" t="str">
        <f>IFERROR(__xludf.DUMMYFUNCTION("""COMPUTED_VALUE"""),"IB FD PREMAT PRINCIPAL-50301217008135")</f>
        <v>IB FD PREMAT PRINCIPAL-50301217008135</v>
      </c>
      <c r="C117" s="28" t="str">
        <f>IFERROR(__xludf.DUMMYFUNCTION("""COMPUTED_VALUE"""),"Salary Credit")</f>
        <v>Salary Credit</v>
      </c>
      <c r="D117" s="15">
        <f>IFERROR(__xludf.DUMMYFUNCTION("""COMPUTED_VALUE"""),15000.0)</f>
        <v>15000</v>
      </c>
      <c r="E117" s="15">
        <f t="shared" si="1"/>
        <v>24393.25</v>
      </c>
    </row>
    <row r="118" ht="22.5" customHeight="1">
      <c r="A118" s="26">
        <f>IFERROR(__xludf.DUMMYFUNCTION("""COMPUTED_VALUE"""),46050.0)</f>
        <v>46050</v>
      </c>
      <c r="B118" s="27" t="str">
        <f>IFERROR(__xludf.DUMMYFUNCTION("""COMPUTED_VALUE"""),"IB FD PREMAT INT PAID-50301217008135")</f>
        <v>IB FD PREMAT INT PAID-50301217008135</v>
      </c>
      <c r="C118" s="28" t="str">
        <f>IFERROR(__xludf.DUMMYFUNCTION("""COMPUTED_VALUE"""),"Salary Credit")</f>
        <v>Salary Credit</v>
      </c>
      <c r="D118" s="15">
        <f>IFERROR(__xludf.DUMMYFUNCTION("""COMPUTED_VALUE"""),181.0)</f>
        <v>181</v>
      </c>
      <c r="E118" s="15">
        <f t="shared" si="1"/>
        <v>24574.25</v>
      </c>
    </row>
    <row r="119" ht="22.5" customHeight="1">
      <c r="A119" s="26">
        <f>IFERROR(__xludf.DUMMYFUNCTION("""COMPUTED_VALUE"""),46050.0)</f>
        <v>46050</v>
      </c>
      <c r="B119" s="27" t="str">
        <f>IFERROR(__xludf.DUMMYFUNCTION("""COMPUTED_VALUE"""),"FD THROUGH MOBILE-50301296099827:SHASHANK AGARWAL")</f>
        <v>FD THROUGH MOBILE-50301296099827:SHASHANK AGARWAL</v>
      </c>
      <c r="C119" s="28" t="str">
        <f>IFERROR(__xludf.DUMMYFUNCTION("""COMPUTED_VALUE"""),"Living Expense")</f>
        <v>Living Expense</v>
      </c>
      <c r="D119" s="15">
        <f>IFERROR(__xludf.DUMMYFUNCTION("""COMPUTED_VALUE"""),-13000.0)</f>
        <v>-13000</v>
      </c>
      <c r="E119" s="15">
        <f t="shared" si="1"/>
        <v>11574.25</v>
      </c>
    </row>
    <row r="120" ht="22.5" customHeight="1">
      <c r="A120" s="26">
        <f>IFERROR(__xludf.DUMMYFUNCTION("""COMPUTED_VALUE"""),46050.0)</f>
        <v>46050</v>
      </c>
      <c r="B120" s="27" t="str">
        <f>IFERROR(__xludf.DUMMYFUNCTION("""COMPUTED_VALUE"""),"UPI-NETFLIX-NETFLIX.BD@AXISBANK-UTIB0000100-636043260286-MANDATEEXECUTE")</f>
        <v>UPI-NETFLIX-NETFLIX.BD@AXISBANK-UTIB0000100-636043260286-MANDATEEXECUTE</v>
      </c>
      <c r="C120" s="28" t="str">
        <f>IFERROR(__xludf.DUMMYFUNCTION("""COMPUTED_VALUE"""),"Living Expense")</f>
        <v>Living Expense</v>
      </c>
      <c r="D120" s="15">
        <f>IFERROR(__xludf.DUMMYFUNCTION("""COMPUTED_VALUE"""),-499.0)</f>
        <v>-499</v>
      </c>
      <c r="E120" s="15">
        <f t="shared" si="1"/>
        <v>11075.25</v>
      </c>
    </row>
    <row r="121" ht="22.5" customHeight="1">
      <c r="A121" s="26">
        <f>IFERROR(__xludf.DUMMYFUNCTION("""COMPUTED_VALUE"""),46051.0)</f>
        <v>46051</v>
      </c>
      <c r="B121" s="27" t="str">
        <f>IFERROR(__xludf.DUMMYFUNCTION("""COMPUTED_VALUE"""),"UPI-SBICAP SECURITIES LT-SBISECURITIES.RZP1.BRK@VALIDHDFC-HDFC0MERUPI-639575594331-PAYVIARAZORPAY")</f>
        <v>UPI-SBICAP SECURITIES LT-SBISECURITIES.RZP1.BRK@VALIDHDFC-HDFC0MERUPI-639575594331-PAYVIARAZORPAY</v>
      </c>
      <c r="C121" s="28" t="str">
        <f>IFERROR(__xludf.DUMMYFUNCTION("""COMPUTED_VALUE"""),"Demat ")</f>
        <v>Demat </v>
      </c>
      <c r="D121" s="15">
        <f>IFERROR(__xludf.DUMMYFUNCTION("""COMPUTED_VALUE"""),-1000.0)</f>
        <v>-1000</v>
      </c>
      <c r="E121" s="15">
        <f t="shared" si="1"/>
        <v>10075.25</v>
      </c>
    </row>
    <row r="122" ht="22.5" customHeight="1">
      <c r="A122" s="26">
        <f>IFERROR(__xludf.DUMMYFUNCTION("""COMPUTED_VALUE"""),46051.0)</f>
        <v>46051</v>
      </c>
      <c r="B122" s="27" t="str">
        <f>IFERROR(__xludf.DUMMYFUNCTION("""COMPUTED_VALUE"""),"UPI-SBICAP SECURITIES LT-SBISECURITIES.RZP1.BRK@VALIDHDFC-HDFC0MERUPI-602910932006-PAYVIARAZORPAY")</f>
        <v>UPI-SBICAP SECURITIES LT-SBISECURITIES.RZP1.BRK@VALIDHDFC-HDFC0MERUPI-602910932006-PAYVIARAZORPAY</v>
      </c>
      <c r="C122" s="28" t="str">
        <f>IFERROR(__xludf.DUMMYFUNCTION("""COMPUTED_VALUE"""),"Demat ")</f>
        <v>Demat </v>
      </c>
      <c r="D122" s="15">
        <f>IFERROR(__xludf.DUMMYFUNCTION("""COMPUTED_VALUE"""),-50.0)</f>
        <v>-50</v>
      </c>
      <c r="E122" s="15">
        <f t="shared" si="1"/>
        <v>10025.25</v>
      </c>
    </row>
    <row r="123" ht="22.5" customHeight="1">
      <c r="A123" s="26">
        <f>IFERROR(__xludf.DUMMYFUNCTION("""COMPUTED_VALUE"""),46052.0)</f>
        <v>46052</v>
      </c>
      <c r="B123" s="27" t="str">
        <f>IFERROR(__xludf.DUMMYFUNCTION("""COMPUTED_VALUE"""),"NEFT CR-SBIN0011777-SBICAP SECURITIES LIMITED USCNB AC-SHASHANK AGARWAL-SBIN226030383593")</f>
        <v>NEFT CR-SBIN0011777-SBICAP SECURITIES LIMITED USCNB AC-SHASHANK AGARWAL-SBIN226030383593</v>
      </c>
      <c r="C123" s="28" t="str">
        <f>IFERROR(__xludf.DUMMYFUNCTION("""COMPUTED_VALUE"""),"Salary Credit")</f>
        <v>Salary Credit</v>
      </c>
      <c r="D123" s="15">
        <f>IFERROR(__xludf.DUMMYFUNCTION("""COMPUTED_VALUE"""),114.35)</f>
        <v>114.35</v>
      </c>
      <c r="E123" s="15">
        <f t="shared" si="1"/>
        <v>10139.6</v>
      </c>
    </row>
    <row r="124" ht="22.5" customHeight="1">
      <c r="A124" s="26">
        <f>IFERROR(__xludf.DUMMYFUNCTION("""COMPUTED_VALUE"""),46054.0)</f>
        <v>46054</v>
      </c>
      <c r="B124" s="27" t="str">
        <f>IFERROR(__xludf.DUMMYFUNCTION("""COMPUTED_VALUE"""),"UPI-SBICAP SECURITIES LT-SBISECURITIES.RZP1.BRK@VALIDHDFC-HDFC0MERUPI-603260664782-PAYVIARAZORPAY")</f>
        <v>UPI-SBICAP SECURITIES LT-SBISECURITIES.RZP1.BRK@VALIDHDFC-HDFC0MERUPI-603260664782-PAYVIARAZORPAY</v>
      </c>
      <c r="C124" s="28" t="str">
        <f>IFERROR(__xludf.DUMMYFUNCTION("""COMPUTED_VALUE"""),"Demat ")</f>
        <v>Demat </v>
      </c>
      <c r="D124" s="15">
        <f>IFERROR(__xludf.DUMMYFUNCTION("""COMPUTED_VALUE"""),-1000.0)</f>
        <v>-1000</v>
      </c>
      <c r="E124" s="15">
        <f t="shared" si="1"/>
        <v>9139.6</v>
      </c>
    </row>
    <row r="125" ht="22.5" customHeight="1">
      <c r="A125" s="26">
        <f>IFERROR(__xludf.DUMMYFUNCTION("""COMPUTED_VALUE"""),46054.0)</f>
        <v>46054</v>
      </c>
      <c r="B125" s="27" t="str">
        <f>IFERROR(__xludf.DUMMYFUNCTION("""COMPUTED_VALUE"""),"UPI-SBICAP SECURITIES LT-SBISECURITIES.RZP1.BRK@VALIDHDFC-HDFC0MERUPI-603261333939-PAYVIARAZORPAY")</f>
        <v>UPI-SBICAP SECURITIES LT-SBISECURITIES.RZP1.BRK@VALIDHDFC-HDFC0MERUPI-603261333939-PAYVIARAZORPAY</v>
      </c>
      <c r="C125" s="28" t="str">
        <f>IFERROR(__xludf.DUMMYFUNCTION("""COMPUTED_VALUE"""),"Demat ")</f>
        <v>Demat </v>
      </c>
      <c r="D125" s="15">
        <f>IFERROR(__xludf.DUMMYFUNCTION("""COMPUTED_VALUE"""),-1000.0)</f>
        <v>-1000</v>
      </c>
      <c r="E125" s="15">
        <f t="shared" si="1"/>
        <v>8139.6</v>
      </c>
    </row>
    <row r="126" ht="22.5" customHeight="1">
      <c r="A126" s="26">
        <f>IFERROR(__xludf.DUMMYFUNCTION("""COMPUTED_VALUE"""),46054.0)</f>
        <v>46054</v>
      </c>
      <c r="B126" s="27" t="str">
        <f>IFERROR(__xludf.DUMMYFUNCTION("""COMPUTED_VALUE"""),"UPI-SBICAP SECURITIES LT-SBISECURITIES.RZP1.BRK@VALIDHDFC-HDFC0MERUPI-603214378783-PAYVIARAZORPAY")</f>
        <v>UPI-SBICAP SECURITIES LT-SBISECURITIES.RZP1.BRK@VALIDHDFC-HDFC0MERUPI-603214378783-PAYVIARAZORPAY</v>
      </c>
      <c r="C126" s="28" t="str">
        <f>IFERROR(__xludf.DUMMYFUNCTION("""COMPUTED_VALUE"""),"Demat ")</f>
        <v>Demat </v>
      </c>
      <c r="D126" s="15">
        <f>IFERROR(__xludf.DUMMYFUNCTION("""COMPUTED_VALUE"""),-1000.0)</f>
        <v>-1000</v>
      </c>
      <c r="E126" s="15">
        <f t="shared" si="1"/>
        <v>7139.6</v>
      </c>
    </row>
    <row r="127" ht="22.5" customHeight="1">
      <c r="A127" s="26">
        <f>IFERROR(__xludf.DUMMYFUNCTION("""COMPUTED_VALUE"""),46054.0)</f>
        <v>46054</v>
      </c>
      <c r="B127" s="27" t="str">
        <f>IFERROR(__xludf.DUMMYFUNCTION("""COMPUTED_VALUE"""),"UPI-SBICAP SECURITIES LT-SBISECURITIES.RZP1.BRK@VALIDHDFC-HDFC0MERUPI-603214379893-PAYVIARAZORPAY")</f>
        <v>UPI-SBICAP SECURITIES LT-SBISECURITIES.RZP1.BRK@VALIDHDFC-HDFC0MERUPI-603214379893-PAYVIARAZORPAY</v>
      </c>
      <c r="C127" s="28" t="str">
        <f>IFERROR(__xludf.DUMMYFUNCTION("""COMPUTED_VALUE"""),"Demat ")</f>
        <v>Demat </v>
      </c>
      <c r="D127" s="15">
        <f>IFERROR(__xludf.DUMMYFUNCTION("""COMPUTED_VALUE"""),-50.0)</f>
        <v>-50</v>
      </c>
      <c r="E127" s="15">
        <f t="shared" si="1"/>
        <v>7089.6</v>
      </c>
    </row>
    <row r="128" ht="22.5" customHeight="1">
      <c r="A128" s="26">
        <f>IFERROR(__xludf.DUMMYFUNCTION("""COMPUTED_VALUE"""),46054.0)</f>
        <v>46054</v>
      </c>
      <c r="B128" s="27" t="str">
        <f>IFERROR(__xludf.DUMMYFUNCTION("""COMPUTED_VALUE"""),"UPI-SUPERMONEY-SUPERMONEY1@YESBANK-YESB0000001-603205497875-SUPERMONEY REWARDS")</f>
        <v>UPI-SUPERMONEY-SUPERMONEY1@YESBANK-YESB0000001-603205497875-SUPERMONEY REWARDS</v>
      </c>
      <c r="C128" s="28" t="str">
        <f>IFERROR(__xludf.DUMMYFUNCTION("""COMPUTED_VALUE"""),"Salary Credit")</f>
        <v>Salary Credit</v>
      </c>
      <c r="D128" s="15">
        <f>IFERROR(__xludf.DUMMYFUNCTION("""COMPUTED_VALUE"""),14.0)</f>
        <v>14</v>
      </c>
      <c r="E128" s="15">
        <f t="shared" si="1"/>
        <v>7103.6</v>
      </c>
    </row>
    <row r="129" ht="22.5" customHeight="1">
      <c r="A129" s="26">
        <f>IFERROR(__xludf.DUMMYFUNCTION("""COMPUTED_VALUE"""),46059.0)</f>
        <v>46059</v>
      </c>
      <c r="B129" s="27" t="str">
        <f>IFERROR(__xludf.DUMMYFUNCTION("""COMPUTED_VALUE"""),"NEFT CR-SBIN0011777-SBICAP SECURITIES LIMITED USCNB AC-SHASHANK AGARWAL-SBIN526037258271")</f>
        <v>NEFT CR-SBIN0011777-SBICAP SECURITIES LIMITED USCNB AC-SHASHANK AGARWAL-SBIN526037258271</v>
      </c>
      <c r="C129" s="28" t="str">
        <f>IFERROR(__xludf.DUMMYFUNCTION("""COMPUTED_VALUE"""),"Demat ")</f>
        <v>Demat </v>
      </c>
      <c r="D129" s="15">
        <f>IFERROR(__xludf.DUMMYFUNCTION("""COMPUTED_VALUE"""),4.44)</f>
        <v>4.44</v>
      </c>
      <c r="E129" s="15">
        <f t="shared" si="1"/>
        <v>7108.04</v>
      </c>
    </row>
    <row r="130" ht="22.5" customHeight="1">
      <c r="A130" s="26">
        <f>IFERROR(__xludf.DUMMYFUNCTION("""COMPUTED_VALUE"""),46063.0)</f>
        <v>46063</v>
      </c>
      <c r="B130" s="27" t="str">
        <f>IFERROR(__xludf.DUMMYFUNCTION("""COMPUTED_VALUE"""),"UPI-TASTEONPLATE PVT LTD-Q261992807@YBL-YESB0YBLUPI-640704186630-PAID VIA SUPERMONE")</f>
        <v>UPI-TASTEONPLATE PVT LTD-Q261992807@YBL-YESB0YBLUPI-640704186630-PAID VIA SUPERMONE</v>
      </c>
      <c r="C130" s="28" t="str">
        <f>IFERROR(__xludf.DUMMYFUNCTION("""COMPUTED_VALUE"""),"Living Expense")</f>
        <v>Living Expense</v>
      </c>
      <c r="D130" s="15">
        <f>IFERROR(__xludf.DUMMYFUNCTION("""COMPUTED_VALUE"""),-270.0)</f>
        <v>-270</v>
      </c>
      <c r="E130" s="15">
        <f t="shared" si="1"/>
        <v>6838.04</v>
      </c>
    </row>
    <row r="131" ht="22.5" customHeight="1">
      <c r="A131" s="26">
        <f>IFERROR(__xludf.DUMMYFUNCTION("""COMPUTED_VALUE"""),46063.0)</f>
        <v>46063</v>
      </c>
      <c r="B131" s="27" t="str">
        <f>IFERROR(__xludf.DUMMYFUNCTION("""COMPUTED_VALUE"""),"UPI-TASTEONPLATE PVT LTD-Q261992807@YBL-YESB0YBLUPI-640704379388-PAID VIA SUPERMONE")</f>
        <v>UPI-TASTEONPLATE PVT LTD-Q261992807@YBL-YESB0YBLUPI-640704379388-PAID VIA SUPERMONE</v>
      </c>
      <c r="C131" s="28" t="str">
        <f>IFERROR(__xludf.DUMMYFUNCTION("""COMPUTED_VALUE"""),"Salary Credit")</f>
        <v>Salary Credit</v>
      </c>
      <c r="D131" s="15">
        <f>IFERROR(__xludf.DUMMYFUNCTION("""COMPUTED_VALUE"""),-146.0)</f>
        <v>-146</v>
      </c>
      <c r="E131" s="15">
        <f t="shared" si="1"/>
        <v>6692.04</v>
      </c>
    </row>
    <row r="132" ht="22.5" customHeight="1">
      <c r="A132" s="26">
        <f>IFERROR(__xludf.DUMMYFUNCTION("""COMPUTED_VALUE"""),46063.0)</f>
        <v>46063</v>
      </c>
      <c r="B132" s="27" t="str">
        <f>IFERROR(__xludf.DUMMYFUNCTION("""COMPUTED_VALUE"""),"UPI-SUPERMONEY-SUPERMONEY1@YESBANK-YESB0000001-604137753069-SUPERMONEY REWARDS")</f>
        <v>UPI-SUPERMONEY-SUPERMONEY1@YESBANK-YESB0000001-604137753069-SUPERMONEY REWARDS</v>
      </c>
      <c r="C132" s="28" t="str">
        <f>IFERROR(__xludf.DUMMYFUNCTION("""COMPUTED_VALUE"""),"Living Expense")</f>
        <v>Living Expense</v>
      </c>
      <c r="D132" s="15">
        <f>IFERROR(__xludf.DUMMYFUNCTION("""COMPUTED_VALUE"""),11.6)</f>
        <v>11.6</v>
      </c>
      <c r="E132" s="15">
        <f t="shared" si="1"/>
        <v>6703.64</v>
      </c>
    </row>
    <row r="133" ht="22.5" customHeight="1">
      <c r="A133" s="26">
        <f>IFERROR(__xludf.DUMMYFUNCTION("""COMPUTED_VALUE"""),46063.0)</f>
        <v>46063</v>
      </c>
      <c r="B133" s="27" t="str">
        <f>IFERROR(__xludf.DUMMYFUNCTION("""COMPUTED_VALUE"""),"UPI-YASH KUMAR MASANI-YASHKUMAR142001@OKHDFCBANK-BKID0006203-640709826216-PAID VIA SUPERMONE")</f>
        <v>UPI-YASH KUMAR MASANI-YASHKUMAR142001@OKHDFCBANK-BKID0006203-640709826216-PAID VIA SUPERMONE</v>
      </c>
      <c r="C133" s="28" t="str">
        <f>IFERROR(__xludf.DUMMYFUNCTION("""COMPUTED_VALUE"""),"Living Expense")</f>
        <v>Living Expense</v>
      </c>
      <c r="D133" s="15">
        <f>IFERROR(__xludf.DUMMYFUNCTION("""COMPUTED_VALUE"""),-500.0)</f>
        <v>-500</v>
      </c>
      <c r="E133" s="15">
        <f t="shared" si="1"/>
        <v>6203.64</v>
      </c>
    </row>
    <row r="134" ht="22.5" customHeight="1">
      <c r="A134" s="26">
        <f>IFERROR(__xludf.DUMMYFUNCTION("""COMPUTED_VALUE"""),46064.0)</f>
        <v>46064</v>
      </c>
      <c r="B134" s="27" t="str">
        <f>IFERROR(__xludf.DUMMYFUNCTION("""COMPUTED_VALUE"""),"UPI-SHRI BALAJI KARYANAS-Q47786098@YBL-YESB0YBLUPI-640829699139-PAID VIA SUPERMONE")</f>
        <v>UPI-SHRI BALAJI KARYANAS-Q47786098@YBL-YESB0YBLUPI-640829699139-PAID VIA SUPERMONE</v>
      </c>
      <c r="C134" s="28" t="str">
        <f>IFERROR(__xludf.DUMMYFUNCTION("""COMPUTED_VALUE"""),"Living Expense")</f>
        <v>Living Expense</v>
      </c>
      <c r="D134" s="15">
        <f>IFERROR(__xludf.DUMMYFUNCTION("""COMPUTED_VALUE"""),-90.0)</f>
        <v>-90</v>
      </c>
      <c r="E134" s="15">
        <f t="shared" si="1"/>
        <v>6113.64</v>
      </c>
    </row>
    <row r="135" ht="22.5" customHeight="1">
      <c r="A135" s="26">
        <f>IFERROR(__xludf.DUMMYFUNCTION("""COMPUTED_VALUE"""),46066.0)</f>
        <v>46066</v>
      </c>
      <c r="B135" s="27" t="str">
        <f>IFERROR(__xludf.DUMMYFUNCTION("""COMPUTED_VALUE"""),"UPI-CREDIT CARD BILL PAY-CCBILLPAY.18948534@IDFCBANK-IDFB0040101-641073633476-PAID VIA SUPERMONE")</f>
        <v>UPI-CREDIT CARD BILL PAY-CCBILLPAY.18948534@IDFCBANK-IDFB0040101-641073633476-PAID VIA SUPERMONE</v>
      </c>
      <c r="C135" s="28" t="str">
        <f>IFERROR(__xludf.DUMMYFUNCTION("""COMPUTED_VALUE"""),"Credit Card Expense")</f>
        <v>Credit Card Expense</v>
      </c>
      <c r="D135" s="15">
        <f>IFERROR(__xludf.DUMMYFUNCTION("""COMPUTED_VALUE"""),-500.0)</f>
        <v>-500</v>
      </c>
      <c r="E135" s="15">
        <f t="shared" si="1"/>
        <v>5613.64</v>
      </c>
    </row>
    <row r="136" ht="22.5" customHeight="1">
      <c r="A136" s="26">
        <f>IFERROR(__xludf.DUMMYFUNCTION("""COMPUTED_VALUE"""),46066.0)</f>
        <v>46066</v>
      </c>
      <c r="B136" s="27" t="str">
        <f>IFERROR(__xludf.DUMMYFUNCTION("""COMPUTED_VALUE"""),"UPI-CREDIT CARD BILL PAY-CCBILLPAY.18948534@IDFCBANK-IDFB0040101-641083278942-PAID VIA SUPERMONE")</f>
        <v>UPI-CREDIT CARD BILL PAY-CCBILLPAY.18948534@IDFCBANK-IDFB0040101-641083278942-PAID VIA SUPERMONE</v>
      </c>
      <c r="C136" s="28" t="str">
        <f>IFERROR(__xludf.DUMMYFUNCTION("""COMPUTED_VALUE"""),"Credit Card Expense")</f>
        <v>Credit Card Expense</v>
      </c>
      <c r="D136" s="15">
        <f>IFERROR(__xludf.DUMMYFUNCTION("""COMPUTED_VALUE"""),-300.0)</f>
        <v>-300</v>
      </c>
      <c r="E136" s="15">
        <f t="shared" si="1"/>
        <v>5313.64</v>
      </c>
    </row>
    <row r="137" ht="22.5" customHeight="1">
      <c r="A137" s="26">
        <f>IFERROR(__xludf.DUMMYFUNCTION("""COMPUTED_VALUE"""),46069.0)</f>
        <v>46069</v>
      </c>
      <c r="B137" s="27" t="str">
        <f>IFERROR(__xludf.DUMMYFUNCTION("""COMPUTED_VALUE"""),"NEFT CR-SBIN0005397-ELECON INDUSTRIES-SHASHANK AGARWAL JI-SBIN226047055342")</f>
        <v>NEFT CR-SBIN0005397-ELECON INDUSTRIES-SHASHANK AGARWAL JI-SBIN226047055342</v>
      </c>
      <c r="C137" s="28" t="str">
        <f>IFERROR(__xludf.DUMMYFUNCTION("""COMPUTED_VALUE"""),"Salary Credit")</f>
        <v>Salary Credit</v>
      </c>
      <c r="D137" s="15">
        <f>IFERROR(__xludf.DUMMYFUNCTION("""COMPUTED_VALUE"""),25000.0)</f>
        <v>25000</v>
      </c>
      <c r="E137" s="15">
        <f t="shared" si="1"/>
        <v>30313.64</v>
      </c>
    </row>
    <row r="138" ht="22.5" customHeight="1">
      <c r="A138" s="26">
        <f>IFERROR(__xludf.DUMMYFUNCTION("""COMPUTED_VALUE"""),46069.0)</f>
        <v>46069</v>
      </c>
      <c r="B138" s="27" t="str">
        <f>IFERROR(__xludf.DUMMYFUNCTION("""COMPUTED_VALUE"""),"FD THROUGH MOBILE-50301307411331:SHASHANK AGARWAL")</f>
        <v>FD THROUGH MOBILE-50301307411331:SHASHANK AGARWAL</v>
      </c>
      <c r="C138" s="28" t="str">
        <f>IFERROR(__xludf.DUMMYFUNCTION("""COMPUTED_VALUE"""),"Living Expense")</f>
        <v>Living Expense</v>
      </c>
      <c r="D138" s="15">
        <f>IFERROR(__xludf.DUMMYFUNCTION("""COMPUTED_VALUE"""),-15000.0)</f>
        <v>-15000</v>
      </c>
      <c r="E138" s="15">
        <f t="shared" si="1"/>
        <v>15313.64</v>
      </c>
    </row>
    <row r="139" ht="22.5" customHeight="1">
      <c r="A139" s="26">
        <f>IFERROR(__xludf.DUMMYFUNCTION("""COMPUTED_VALUE"""),46069.0)</f>
        <v>46069</v>
      </c>
      <c r="B139" s="27" t="str">
        <f>IFERROR(__xludf.DUMMYFUNCTION("""COMPUTED_VALUE"""),"UPI-CREDIT CARD BILL PAY-CCBILLPAY.18948534@IDFCBANK-IDFB0040101-604756636550-PAID VIA SUPERMONE")</f>
        <v>UPI-CREDIT CARD BILL PAY-CCBILLPAY.18948534@IDFCBANK-IDFB0040101-604756636550-PAID VIA SUPERMONE</v>
      </c>
      <c r="C139" s="28" t="str">
        <f>IFERROR(__xludf.DUMMYFUNCTION("""COMPUTED_VALUE"""),"Credit Card Expense")</f>
        <v>Credit Card Expense</v>
      </c>
      <c r="D139" s="15">
        <f>IFERROR(__xludf.DUMMYFUNCTION("""COMPUTED_VALUE"""),-3000.0)</f>
        <v>-3000</v>
      </c>
      <c r="E139" s="15">
        <f t="shared" si="1"/>
        <v>12313.64</v>
      </c>
    </row>
    <row r="140" ht="22.5" customHeight="1">
      <c r="A140" s="26">
        <f>IFERROR(__xludf.DUMMYFUNCTION("""COMPUTED_VALUE"""),46070.0)</f>
        <v>46070</v>
      </c>
      <c r="B140" s="27" t="str">
        <f>IFERROR(__xludf.DUMMYFUNCTION("""COMPUTED_VALUE"""),"UPI-SBICAP SECURITIES LT-SBISECURITIES.RZP1.BRK@VALIDHDFC-HDFC0MERUPI-604875773612-PAYVIARAZORPAY")</f>
        <v>UPI-SBICAP SECURITIES LT-SBISECURITIES.RZP1.BRK@VALIDHDFC-HDFC0MERUPI-604875773612-PAYVIARAZORPAY</v>
      </c>
      <c r="C140" s="28" t="str">
        <f>IFERROR(__xludf.DUMMYFUNCTION("""COMPUTED_VALUE"""),"Demat ")</f>
        <v>Demat </v>
      </c>
      <c r="D140" s="15">
        <f>IFERROR(__xludf.DUMMYFUNCTION("""COMPUTED_VALUE"""),-1000.0)</f>
        <v>-1000</v>
      </c>
      <c r="E140" s="15">
        <f t="shared" si="1"/>
        <v>11313.64</v>
      </c>
    </row>
    <row r="141" ht="22.5" customHeight="1">
      <c r="A141" s="26">
        <f>IFERROR(__xludf.DUMMYFUNCTION("""COMPUTED_VALUE"""),46070.0)</f>
        <v>46070</v>
      </c>
      <c r="B141" s="27" t="str">
        <f>IFERROR(__xludf.DUMMYFUNCTION("""COMPUTED_VALUE"""),"UPI-SBICAP SECURITIES LT-SBISECURITIES.RZP1.BRK@VALIDHDFC-HDFC0MERUPI-604875777518-PAYVIARAZORPAY")</f>
        <v>UPI-SBICAP SECURITIES LT-SBISECURITIES.RZP1.BRK@VALIDHDFC-HDFC0MERUPI-604875777518-PAYVIARAZORPAY</v>
      </c>
      <c r="C141" s="28" t="str">
        <f>IFERROR(__xludf.DUMMYFUNCTION("""COMPUTED_VALUE"""),"Demat ")</f>
        <v>Demat </v>
      </c>
      <c r="D141" s="15">
        <f>IFERROR(__xludf.DUMMYFUNCTION("""COMPUTED_VALUE"""),-1000.0)</f>
        <v>-1000</v>
      </c>
      <c r="E141" s="15">
        <f t="shared" si="1"/>
        <v>10313.64</v>
      </c>
    </row>
    <row r="142" ht="22.5" customHeight="1">
      <c r="A142" s="26">
        <f>IFERROR(__xludf.DUMMYFUNCTION("""COMPUTED_VALUE"""),46070.0)</f>
        <v>46070</v>
      </c>
      <c r="B142" s="27" t="str">
        <f>IFERROR(__xludf.DUMMYFUNCTION("""COMPUTED_VALUE"""),"UPI-SUPERMONEY-SUPERMONEY1@YESBANK-YESB0000001-604859373358-SUPERMONEY REWARDS")</f>
        <v>UPI-SUPERMONEY-SUPERMONEY1@YESBANK-YESB0000001-604859373358-SUPERMONEY REWARDS</v>
      </c>
      <c r="C142" s="28" t="str">
        <f>IFERROR(__xludf.DUMMYFUNCTION("""COMPUTED_VALUE"""),"Salary Credit")</f>
        <v>Salary Credit</v>
      </c>
      <c r="D142" s="15">
        <f>IFERROR(__xludf.DUMMYFUNCTION("""COMPUTED_VALUE"""),10.19)</f>
        <v>10.19</v>
      </c>
      <c r="E142" s="15">
        <f t="shared" si="1"/>
        <v>10323.83</v>
      </c>
    </row>
    <row r="143" ht="22.5" customHeight="1">
      <c r="A143" s="26">
        <f>IFERROR(__xludf.DUMMYFUNCTION("""COMPUTED_VALUE"""),46072.0)</f>
        <v>46072</v>
      </c>
      <c r="B143" s="27" t="str">
        <f>IFERROR(__xludf.DUMMYFUNCTION("""COMPUTED_VALUE"""),"FD THROUGH MOBILE-50301308805651:SHASHANK AGARWAL")</f>
        <v>FD THROUGH MOBILE-50301308805651:SHASHANK AGARWAL</v>
      </c>
      <c r="C143" s="28" t="str">
        <f>IFERROR(__xludf.DUMMYFUNCTION("""COMPUTED_VALUE"""),"Living Expense")</f>
        <v>Living Expense</v>
      </c>
      <c r="D143" s="15">
        <f>IFERROR(__xludf.DUMMYFUNCTION("""COMPUTED_VALUE"""),-5000.0)</f>
        <v>-5000</v>
      </c>
      <c r="E143" s="15">
        <f t="shared" si="1"/>
        <v>5323.83</v>
      </c>
    </row>
    <row r="144" ht="22.5" customHeight="1">
      <c r="A144" s="26">
        <f>IFERROR(__xludf.DUMMYFUNCTION("""COMPUTED_VALUE"""),46072.0)</f>
        <v>46072</v>
      </c>
      <c r="B144" s="27" t="str">
        <f>IFERROR(__xludf.DUMMYFUNCTION("""COMPUTED_VALUE"""),"UPI-NAVI LIMITED-NAVILIMITED@IDFCBANK-IDFB0081188-605098990381-NAVI LIMITED FUND")</f>
        <v>UPI-NAVI LIMITED-NAVILIMITED@IDFCBANK-IDFB0081188-605098990381-NAVI LIMITED FUND</v>
      </c>
      <c r="C144" s="28" t="str">
        <f>IFERROR(__xludf.DUMMYFUNCTION("""COMPUTED_VALUE"""),"Salary Credit")</f>
        <v>Salary Credit</v>
      </c>
      <c r="D144" s="15">
        <f>IFERROR(__xludf.DUMMYFUNCTION("""COMPUTED_VALUE"""),17.0)</f>
        <v>17</v>
      </c>
      <c r="E144" s="15">
        <f t="shared" si="1"/>
        <v>5340.83</v>
      </c>
    </row>
    <row r="145" ht="22.5" customHeight="1">
      <c r="A145" s="26">
        <f>IFERROR(__xludf.DUMMYFUNCTION("""COMPUTED_VALUE"""),46072.0)</f>
        <v>46072</v>
      </c>
      <c r="B145" s="27" t="str">
        <f>IFERROR(__xludf.DUMMYFUNCTION("""COMPUTED_VALUE"""),"UPI-SBICAP SECURITIES ON-SBISECURITIES.NTT.BRK@VALIDHDFC-HDFC0MERUPI-102741033737-ATOM")</f>
        <v>UPI-SBICAP SECURITIES ON-SBISECURITIES.NTT.BRK@VALIDHDFC-HDFC0MERUPI-102741033737-ATOM</v>
      </c>
      <c r="C145" s="28" t="str">
        <f>IFERROR(__xludf.DUMMYFUNCTION("""COMPUTED_VALUE"""),"Demat ")</f>
        <v>Demat </v>
      </c>
      <c r="D145" s="15">
        <f>IFERROR(__xludf.DUMMYFUNCTION("""COMPUTED_VALUE"""),-1044.12)</f>
        <v>-1044.12</v>
      </c>
      <c r="E145" s="15">
        <f t="shared" si="1"/>
        <v>4296.71</v>
      </c>
    </row>
    <row r="146" ht="22.5" customHeight="1">
      <c r="A146" s="26">
        <f>IFERROR(__xludf.DUMMYFUNCTION("""COMPUTED_VALUE"""),46072.0)</f>
        <v>46072</v>
      </c>
      <c r="B146" s="27" t="str">
        <f>IFERROR(__xludf.DUMMYFUNCTION("""COMPUTED_VALUE"""),"UPI-NAVI LIMITED-NAVILIMITED@IDFCBANK-IDFB0081188-605099156744-NAVI LIMITED FUND")</f>
        <v>UPI-NAVI LIMITED-NAVILIMITED@IDFCBANK-IDFB0081188-605099156744-NAVI LIMITED FUND</v>
      </c>
      <c r="C146" s="28" t="str">
        <f>IFERROR(__xludf.DUMMYFUNCTION("""COMPUTED_VALUE"""),"Salary Credit")</f>
        <v>Salary Credit</v>
      </c>
      <c r="D146" s="15">
        <f>IFERROR(__xludf.DUMMYFUNCTION("""COMPUTED_VALUE"""),8.0)</f>
        <v>8</v>
      </c>
      <c r="E146" s="15">
        <f t="shared" si="1"/>
        <v>4304.71</v>
      </c>
    </row>
    <row r="147" ht="22.5" customHeight="1">
      <c r="A147" s="26">
        <f>IFERROR(__xludf.DUMMYFUNCTION("""COMPUTED_VALUE"""),46072.0)</f>
        <v>46072</v>
      </c>
      <c r="B147" s="27" t="str">
        <f>IFERROR(__xludf.DUMMYFUNCTION("""COMPUTED_VALUE"""),"UPI-NAVI BILL PAYMENTS-NAVIRCBP.CCBILLPAY@ICICI-ICIC0DC0099-000784405540-PAY")</f>
        <v>UPI-NAVI BILL PAYMENTS-NAVIRCBP.CCBILLPAY@ICICI-ICIC0DC0099-000784405540-PAY</v>
      </c>
      <c r="C147" s="28" t="str">
        <f>IFERROR(__xludf.DUMMYFUNCTION("""COMPUTED_VALUE"""),"Living Expense")</f>
        <v>Living Expense</v>
      </c>
      <c r="D147" s="15">
        <f>IFERROR(__xludf.DUMMYFUNCTION("""COMPUTED_VALUE"""),-1304.71)</f>
        <v>-1304.71</v>
      </c>
      <c r="E147" s="15">
        <f t="shared" si="1"/>
        <v>3000</v>
      </c>
    </row>
    <row r="148" ht="22.5" customHeight="1">
      <c r="A148" s="26">
        <f>IFERROR(__xludf.DUMMYFUNCTION("""COMPUTED_VALUE"""),46072.0)</f>
        <v>46072</v>
      </c>
      <c r="B148" s="27" t="str">
        <f>IFERROR(__xludf.DUMMYFUNCTION("""COMPUTED_VALUE"""),"UPI-NAVI LIMITED-NAVILIMITED@IDFCBANK-IDFB0081188-605099335407-NAVI LIMITED FUND")</f>
        <v>UPI-NAVI LIMITED-NAVILIMITED@IDFCBANK-IDFB0081188-605099335407-NAVI LIMITED FUND</v>
      </c>
      <c r="C148" s="28" t="str">
        <f>IFERROR(__xludf.DUMMYFUNCTION("""COMPUTED_VALUE"""),"Salary Credit")</f>
        <v>Salary Credit</v>
      </c>
      <c r="D148" s="15">
        <f>IFERROR(__xludf.DUMMYFUNCTION("""COMPUTED_VALUE"""),5.0)</f>
        <v>5</v>
      </c>
      <c r="E148" s="15">
        <f t="shared" si="1"/>
        <v>3005</v>
      </c>
    </row>
    <row r="149" ht="22.5" customHeight="1">
      <c r="A149" s="26">
        <f>IFERROR(__xludf.DUMMYFUNCTION("""COMPUTED_VALUE"""),46072.0)</f>
        <v>46072</v>
      </c>
      <c r="B149" s="27" t="str">
        <f>IFERROR(__xludf.DUMMYFUNCTION("""COMPUTED_VALUE"""),"UPI-NAVI TECHNOLOGIES-NAVITECHLTD.CF@AXISBANK-UTIB0001920-000784422036-PAY")</f>
        <v>UPI-NAVI TECHNOLOGIES-NAVITECHLTD.CF@AXISBANK-UTIB0001920-000784422036-PAY</v>
      </c>
      <c r="C149" s="28" t="str">
        <f>IFERROR(__xludf.DUMMYFUNCTION("""COMPUTED_VALUE"""),"Living Expense")</f>
        <v>Living Expense</v>
      </c>
      <c r="D149" s="15">
        <f>IFERROR(__xludf.DUMMYFUNCTION("""COMPUTED_VALUE"""),-1000.0)</f>
        <v>-1000</v>
      </c>
      <c r="E149" s="15">
        <f t="shared" si="1"/>
        <v>2005</v>
      </c>
    </row>
    <row r="150" ht="22.5" customHeight="1">
      <c r="A150" s="26">
        <f>IFERROR(__xludf.DUMMYFUNCTION("""COMPUTED_VALUE"""),46072.0)</f>
        <v>46072</v>
      </c>
      <c r="B150" s="27" t="str">
        <f>IFERROR(__xludf.DUMMYFUNCTION("""COMPUTED_VALUE"""),"UPI-NAVI LIMITED-NAVILIMITED@IDFCBANK-IDFB0081188-605099336637-NAVI LIMITED FUND")</f>
        <v>UPI-NAVI LIMITED-NAVILIMITED@IDFCBANK-IDFB0081188-605099336637-NAVI LIMITED FUND</v>
      </c>
      <c r="C150" s="28" t="str">
        <f>IFERROR(__xludf.DUMMYFUNCTION("""COMPUTED_VALUE"""),"Salary Credit")</f>
        <v>Salary Credit</v>
      </c>
      <c r="D150" s="15">
        <f>IFERROR(__xludf.DUMMYFUNCTION("""COMPUTED_VALUE"""),5.0)</f>
        <v>5</v>
      </c>
      <c r="E150" s="15">
        <f t="shared" si="1"/>
        <v>2010</v>
      </c>
    </row>
    <row r="151" ht="22.5" customHeight="1">
      <c r="A151" s="26">
        <f>IFERROR(__xludf.DUMMYFUNCTION("""COMPUTED_VALUE"""),46072.0)</f>
        <v>46072</v>
      </c>
      <c r="B151" s="27" t="str">
        <f>IFERROR(__xludf.DUMMYFUNCTION("""COMPUTED_VALUE"""),"IB FD PREMAT PRINCIPAL-50301296099827")</f>
        <v>IB FD PREMAT PRINCIPAL-50301296099827</v>
      </c>
      <c r="C151" s="28" t="str">
        <f>IFERROR(__xludf.DUMMYFUNCTION("""COMPUTED_VALUE"""),"Salary Credit")</f>
        <v>Salary Credit</v>
      </c>
      <c r="D151" s="15">
        <f>IFERROR(__xludf.DUMMYFUNCTION("""COMPUTED_VALUE"""),13000.0)</f>
        <v>13000</v>
      </c>
      <c r="E151" s="15">
        <f t="shared" si="1"/>
        <v>15010</v>
      </c>
    </row>
    <row r="152" ht="22.5" customHeight="1">
      <c r="A152" s="26">
        <f>IFERROR(__xludf.DUMMYFUNCTION("""COMPUTED_VALUE"""),46072.0)</f>
        <v>46072</v>
      </c>
      <c r="B152" s="27" t="str">
        <f>IFERROR(__xludf.DUMMYFUNCTION("""COMPUTED_VALUE"""),"IB FD PREMAT INT PAID-50301296099827")</f>
        <v>IB FD PREMAT INT PAID-50301296099827</v>
      </c>
      <c r="C152" s="28" t="str">
        <f>IFERROR(__xludf.DUMMYFUNCTION("""COMPUTED_VALUE"""),"Salary Credit")</f>
        <v>Salary Credit</v>
      </c>
      <c r="D152" s="15">
        <f>IFERROR(__xludf.DUMMYFUNCTION("""COMPUTED_VALUE"""),14.0)</f>
        <v>14</v>
      </c>
      <c r="E152" s="15">
        <f t="shared" si="1"/>
        <v>15024</v>
      </c>
    </row>
    <row r="153" ht="22.5" customHeight="1">
      <c r="A153" s="26">
        <f>IFERROR(__xludf.DUMMYFUNCTION("""COMPUTED_VALUE"""),46072.0)</f>
        <v>46072</v>
      </c>
      <c r="B153" s="27" t="str">
        <f>IFERROR(__xludf.DUMMYFUNCTION("""COMPUTED_VALUE"""),"UPI-NAVI BILL PAYMENTS-NAVIRCBP.CCBILLPAY@ICICI-ICIC0DC0099-000784622574-PAY")</f>
        <v>UPI-NAVI BILL PAYMENTS-NAVIRCBP.CCBILLPAY@ICICI-ICIC0DC0099-000784622574-PAY</v>
      </c>
      <c r="C153" s="28" t="str">
        <f>IFERROR(__xludf.DUMMYFUNCTION("""COMPUTED_VALUE"""),"Living Expense")</f>
        <v>Living Expense</v>
      </c>
      <c r="D153" s="15">
        <f>IFERROR(__xludf.DUMMYFUNCTION("""COMPUTED_VALUE"""),-800.0)</f>
        <v>-800</v>
      </c>
      <c r="E153" s="15">
        <f t="shared" si="1"/>
        <v>14224</v>
      </c>
    </row>
    <row r="154" ht="22.5" customHeight="1">
      <c r="A154" s="26">
        <f>IFERROR(__xludf.DUMMYFUNCTION("""COMPUTED_VALUE"""),46072.0)</f>
        <v>46072</v>
      </c>
      <c r="B154" s="27" t="str">
        <f>IFERROR(__xludf.DUMMYFUNCTION("""COMPUTED_VALUE"""),"UPI-NAVI LIMITED-NAVILIMITED@IDFCBANK-IDFB0081188-605099355250-NAVI LIMITED FUND")</f>
        <v>UPI-NAVI LIMITED-NAVILIMITED@IDFCBANK-IDFB0081188-605099355250-NAVI LIMITED FUND</v>
      </c>
      <c r="C154" s="28" t="str">
        <f>IFERROR(__xludf.DUMMYFUNCTION("""COMPUTED_VALUE"""),"Salary Credit")</f>
        <v>Salary Credit</v>
      </c>
      <c r="D154" s="15">
        <f>IFERROR(__xludf.DUMMYFUNCTION("""COMPUTED_VALUE"""),6.0)</f>
        <v>6</v>
      </c>
      <c r="E154" s="15">
        <f t="shared" si="1"/>
        <v>14230</v>
      </c>
    </row>
    <row r="155" ht="22.5" customHeight="1">
      <c r="A155" s="26">
        <f>IFERROR(__xludf.DUMMYFUNCTION("""COMPUTED_VALUE"""),46072.0)</f>
        <v>46072</v>
      </c>
      <c r="B155" s="27" t="str">
        <f>IFERROR(__xludf.DUMMYFUNCTION("""COMPUTED_VALUE"""),"UPI-NAVI TECHNOLOGIES-NAVITECHLTD.CF@AXISBANK-UTIB0001920-000789745693-PAY")</f>
        <v>UPI-NAVI TECHNOLOGIES-NAVITECHLTD.CF@AXISBANK-UTIB0001920-000789745693-PAY</v>
      </c>
      <c r="C155" s="28" t="str">
        <f>IFERROR(__xludf.DUMMYFUNCTION("""COMPUTED_VALUE"""),"Living Expense")</f>
        <v>Living Expense</v>
      </c>
      <c r="D155" s="15">
        <f>IFERROR(__xludf.DUMMYFUNCTION("""COMPUTED_VALUE"""),-1000.0)</f>
        <v>-1000</v>
      </c>
      <c r="E155" s="15">
        <f t="shared" si="1"/>
        <v>13230</v>
      </c>
    </row>
    <row r="156" ht="22.5" customHeight="1">
      <c r="A156" s="26">
        <f>IFERROR(__xludf.DUMMYFUNCTION("""COMPUTED_VALUE"""),46072.0)</f>
        <v>46072</v>
      </c>
      <c r="B156" s="27" t="str">
        <f>IFERROR(__xludf.DUMMYFUNCTION("""COMPUTED_VALUE"""),"UPI-NAVI TECHNOLOGIES-NAVITECHLTD.CF@AXISBANK-UTIB0001920-000789727252-PAY")</f>
        <v>UPI-NAVI TECHNOLOGIES-NAVITECHLTD.CF@AXISBANK-UTIB0001920-000789727252-PAY</v>
      </c>
      <c r="C156" s="28" t="str">
        <f>IFERROR(__xludf.DUMMYFUNCTION("""COMPUTED_VALUE"""),"Living Expense")</f>
        <v>Living Expense</v>
      </c>
      <c r="D156" s="15">
        <f>IFERROR(__xludf.DUMMYFUNCTION("""COMPUTED_VALUE"""),-2000.0)</f>
        <v>-2000</v>
      </c>
      <c r="E156" s="15">
        <f t="shared" si="1"/>
        <v>11230</v>
      </c>
    </row>
    <row r="157" ht="22.5" customHeight="1">
      <c r="A157" s="26">
        <f>IFERROR(__xludf.DUMMYFUNCTION("""COMPUTED_VALUE"""),46072.0)</f>
        <v>46072</v>
      </c>
      <c r="B157" s="27" t="str">
        <f>IFERROR(__xludf.DUMMYFUNCTION("""COMPUTED_VALUE"""),"UPI-NAVI TECHNOLOGIES-NAVITECHLTD.CF@AXISBANK-UTIB0001920-000789775847-PAY")</f>
        <v>UPI-NAVI TECHNOLOGIES-NAVITECHLTD.CF@AXISBANK-UTIB0001920-000789775847-PAY</v>
      </c>
      <c r="C157" s="28" t="str">
        <f>IFERROR(__xludf.DUMMYFUNCTION("""COMPUTED_VALUE"""),"Living Expense")</f>
        <v>Living Expense</v>
      </c>
      <c r="D157" s="15">
        <f>IFERROR(__xludf.DUMMYFUNCTION("""COMPUTED_VALUE"""),-2000.0)</f>
        <v>-2000</v>
      </c>
      <c r="E157" s="15">
        <f t="shared" si="1"/>
        <v>9230</v>
      </c>
    </row>
    <row r="158" ht="22.5" customHeight="1">
      <c r="A158" s="26">
        <f>IFERROR(__xludf.DUMMYFUNCTION("""COMPUTED_VALUE"""),46072.0)</f>
        <v>46072</v>
      </c>
      <c r="B158" s="27" t="str">
        <f>IFERROR(__xludf.DUMMYFUNCTION("""COMPUTED_VALUE"""),"UPI-NAVI LIMITED-NAVILIMITED@IDFCBANK-IDFB0081188-605099768559-NAVI LIMITED FUND")</f>
        <v>UPI-NAVI LIMITED-NAVILIMITED@IDFCBANK-IDFB0081188-605099768559-NAVI LIMITED FUND</v>
      </c>
      <c r="C158" s="28" t="str">
        <f>IFERROR(__xludf.DUMMYFUNCTION("""COMPUTED_VALUE"""),"Salary Credit")</f>
        <v>Salary Credit</v>
      </c>
      <c r="D158" s="15">
        <f>IFERROR(__xludf.DUMMYFUNCTION("""COMPUTED_VALUE"""),9.0)</f>
        <v>9</v>
      </c>
      <c r="E158" s="15">
        <f t="shared" si="1"/>
        <v>9239</v>
      </c>
    </row>
    <row r="159" ht="22.5" customHeight="1">
      <c r="A159" s="26">
        <f>IFERROR(__xludf.DUMMYFUNCTION("""COMPUTED_VALUE"""),46072.0)</f>
        <v>46072</v>
      </c>
      <c r="B159" s="27" t="str">
        <f>IFERROR(__xludf.DUMMYFUNCTION("""COMPUTED_VALUE"""),"UPI-NAVI TECHNOLOGIES-NAVITECHLTD.CF@AXISBANK-UTIB0001920-000789813471-PAY")</f>
        <v>UPI-NAVI TECHNOLOGIES-NAVITECHLTD.CF@AXISBANK-UTIB0001920-000789813471-PAY</v>
      </c>
      <c r="C159" s="28" t="str">
        <f>IFERROR(__xludf.DUMMYFUNCTION("""COMPUTED_VALUE"""),"Living Expense")</f>
        <v>Living Expense</v>
      </c>
      <c r="D159" s="15">
        <f>IFERROR(__xludf.DUMMYFUNCTION("""COMPUTED_VALUE"""),-458.21)</f>
        <v>-458.21</v>
      </c>
      <c r="E159" s="15">
        <f t="shared" si="1"/>
        <v>8780.79</v>
      </c>
    </row>
    <row r="160" ht="22.5" customHeight="1">
      <c r="A160" s="26">
        <f>IFERROR(__xludf.DUMMYFUNCTION("""COMPUTED_VALUE"""),46072.0)</f>
        <v>46072</v>
      </c>
      <c r="B160" s="27" t="str">
        <f>IFERROR(__xludf.DUMMYFUNCTION("""COMPUTED_VALUE"""),"UPI-NAVI LIMITED-NAVILIMITED@IDFCBANK-IDFB0081188-605099772845-NAVI LIMITED FUND")</f>
        <v>UPI-NAVI LIMITED-NAVILIMITED@IDFCBANK-IDFB0081188-605099772845-NAVI LIMITED FUND</v>
      </c>
      <c r="C160" s="28" t="str">
        <f>IFERROR(__xludf.DUMMYFUNCTION("""COMPUTED_VALUE"""),"Salary Credit")</f>
        <v>Salary Credit</v>
      </c>
      <c r="D160" s="15">
        <f>IFERROR(__xludf.DUMMYFUNCTION("""COMPUTED_VALUE"""),1.0)</f>
        <v>1</v>
      </c>
      <c r="E160" s="15">
        <f t="shared" si="1"/>
        <v>8781.79</v>
      </c>
    </row>
    <row r="161" ht="22.5" customHeight="1">
      <c r="A161" s="26">
        <f>IFERROR(__xludf.DUMMYFUNCTION("""COMPUTED_VALUE"""),46072.0)</f>
        <v>46072</v>
      </c>
      <c r="B161" s="27" t="str">
        <f>IFERROR(__xludf.DUMMYFUNCTION("""COMPUTED_VALUE"""),"UPI-NAVI TECHNOLOGIES-CF.NAVITECHNOLOGIESLTD@CASHFREENSDLPB-NSPB0000011-000795037438-PAY")</f>
        <v>UPI-NAVI TECHNOLOGIES-CF.NAVITECHNOLOGIESLTD@CASHFREENSDLPB-NSPB0000011-000795037438-PAY</v>
      </c>
      <c r="C161" s="28" t="str">
        <f>IFERROR(__xludf.DUMMYFUNCTION("""COMPUTED_VALUE"""),"Living Expense")</f>
        <v>Living Expense</v>
      </c>
      <c r="D161" s="15">
        <f>IFERROR(__xludf.DUMMYFUNCTION("""COMPUTED_VALUE"""),-650.0)</f>
        <v>-650</v>
      </c>
      <c r="E161" s="15">
        <f t="shared" si="1"/>
        <v>8131.79</v>
      </c>
    </row>
    <row r="162" ht="22.5" customHeight="1">
      <c r="A162" s="26">
        <f>IFERROR(__xludf.DUMMYFUNCTION("""COMPUTED_VALUE"""),46073.0)</f>
        <v>46073</v>
      </c>
      <c r="B162" s="27" t="str">
        <f>IFERROR(__xludf.DUMMYFUNCTION("""COMPUTED_VALUE"""),"UPI-NAVI BILL PAYMENTS-NAVIRCBP.CCBILLPAY@ICICI-ICIC0DC0099-000800689677-PAY")</f>
        <v>UPI-NAVI BILL PAYMENTS-NAVIRCBP.CCBILLPAY@ICICI-ICIC0DC0099-000800689677-PAY</v>
      </c>
      <c r="C162" s="28" t="str">
        <f>IFERROR(__xludf.DUMMYFUNCTION("""COMPUTED_VALUE"""),"Living Expense")</f>
        <v>Living Expense</v>
      </c>
      <c r="D162" s="15">
        <f>IFERROR(__xludf.DUMMYFUNCTION("""COMPUTED_VALUE"""),-11.0)</f>
        <v>-11</v>
      </c>
      <c r="E162" s="15">
        <f t="shared" si="1"/>
        <v>8120.79</v>
      </c>
    </row>
    <row r="163" ht="22.5" customHeight="1">
      <c r="A163" s="26">
        <f>IFERROR(__xludf.DUMMYFUNCTION("""COMPUTED_VALUE"""),46074.0)</f>
        <v>46074</v>
      </c>
      <c r="B163" s="27" t="str">
        <f>IFERROR(__xludf.DUMMYFUNCTION("""COMPUTED_VALUE"""),"UPI-NAVI BILL PAYMENTS-NAVIRCBP.CCBILLPAY@ICICI-ICIC0DC0099-000822026604-PAY")</f>
        <v>UPI-NAVI BILL PAYMENTS-NAVIRCBP.CCBILLPAY@ICICI-ICIC0DC0099-000822026604-PAY</v>
      </c>
      <c r="C163" s="28" t="str">
        <f>IFERROR(__xludf.DUMMYFUNCTION("""COMPUTED_VALUE"""),"Living Expense")</f>
        <v>Living Expense</v>
      </c>
      <c r="D163" s="15">
        <f>IFERROR(__xludf.DUMMYFUNCTION("""COMPUTED_VALUE"""),-1000.0)</f>
        <v>-1000</v>
      </c>
      <c r="E163" s="15">
        <f t="shared" si="1"/>
        <v>7120.79</v>
      </c>
    </row>
    <row r="164" ht="22.5" customHeight="1">
      <c r="A164" s="26">
        <f>IFERROR(__xludf.DUMMYFUNCTION("""COMPUTED_VALUE"""),46074.0)</f>
        <v>46074</v>
      </c>
      <c r="B164" s="27" t="str">
        <f>IFERROR(__xludf.DUMMYFUNCTION("""COMPUTED_VALUE"""),"UPI-NAVI LIMITED-NAVILIMITED@IDFCBANK-IDFB0081188-605202538919-NAVI LIMITED FUND")</f>
        <v>UPI-NAVI LIMITED-NAVILIMITED@IDFCBANK-IDFB0081188-605202538919-NAVI LIMITED FUND</v>
      </c>
      <c r="C164" s="28" t="str">
        <f>IFERROR(__xludf.DUMMYFUNCTION("""COMPUTED_VALUE"""),"Salary Credit")</f>
        <v>Salary Credit</v>
      </c>
      <c r="D164" s="15">
        <f>IFERROR(__xludf.DUMMYFUNCTION("""COMPUTED_VALUE"""),1.0)</f>
        <v>1</v>
      </c>
      <c r="E164" s="15">
        <f t="shared" si="1"/>
        <v>7121.79</v>
      </c>
    </row>
    <row r="165" ht="22.5" customHeight="1">
      <c r="A165" s="26">
        <f>IFERROR(__xludf.DUMMYFUNCTION("""COMPUTED_VALUE"""),46076.0)</f>
        <v>46076</v>
      </c>
      <c r="B165" s="27" t="str">
        <f>IFERROR(__xludf.DUMMYFUNCTION("""COMPUTED_VALUE"""),"NEFT CR-CITI0100000-PAYPAL PAYMENTS PL INR FBO CUR AC-SHASHANK AGARWAL-CITIN26623836688")</f>
        <v>NEFT CR-CITI0100000-PAYPAL PAYMENTS PL INR FBO CUR AC-SHASHANK AGARWAL-CITIN26623836688</v>
      </c>
      <c r="C165" s="28" t="str">
        <f>IFERROR(__xludf.DUMMYFUNCTION("""COMPUTED_VALUE"""),"Salary Credit")</f>
        <v>Salary Credit</v>
      </c>
      <c r="D165" s="15">
        <f>IFERROR(__xludf.DUMMYFUNCTION("""COMPUTED_VALUE"""),1.01)</f>
        <v>1.01</v>
      </c>
      <c r="E165" s="15">
        <f t="shared" si="1"/>
        <v>7122.8</v>
      </c>
    </row>
    <row r="166" ht="22.5" customHeight="1">
      <c r="A166" s="26">
        <f>IFERROR(__xludf.DUMMYFUNCTION("""COMPUTED_VALUE"""),46076.0)</f>
        <v>46076</v>
      </c>
      <c r="B166" s="27" t="str">
        <f>IFERROR(__xludf.DUMMYFUNCTION("""COMPUTED_VALUE"""),"NEFT CR-CITI0100000-PAYPAL PAYMENTS PL INR FBO CUR AC-SHASHANK AGARWAL-CITIN26623823420")</f>
        <v>NEFT CR-CITI0100000-PAYPAL PAYMENTS PL INR FBO CUR AC-SHASHANK AGARWAL-CITIN26623823420</v>
      </c>
      <c r="C166" s="28" t="str">
        <f>IFERROR(__xludf.DUMMYFUNCTION("""COMPUTED_VALUE"""),"Salary Credit")</f>
        <v>Salary Credit</v>
      </c>
      <c r="D166" s="15">
        <f>IFERROR(__xludf.DUMMYFUNCTION("""COMPUTED_VALUE"""),1.09)</f>
        <v>1.09</v>
      </c>
      <c r="E166" s="15">
        <f t="shared" si="1"/>
        <v>7123.89</v>
      </c>
    </row>
    <row r="167" ht="22.5" customHeight="1">
      <c r="A167" s="26">
        <f>IFERROR(__xludf.DUMMYFUNCTION("""COMPUTED_VALUE"""),46076.0)</f>
        <v>46076</v>
      </c>
      <c r="B167" s="27" t="str">
        <f>IFERROR(__xludf.DUMMYFUNCTION("""COMPUTED_VALUE"""),"FD THROUGH MOBILE-50301310688845:SHASHANK AGARWAL")</f>
        <v>FD THROUGH MOBILE-50301310688845:SHASHANK AGARWAL</v>
      </c>
      <c r="C167" s="28" t="str">
        <f>IFERROR(__xludf.DUMMYFUNCTION("""COMPUTED_VALUE"""),"Living Expense")</f>
        <v>Living Expense</v>
      </c>
      <c r="D167" s="15">
        <f>IFERROR(__xludf.DUMMYFUNCTION("""COMPUTED_VALUE"""),-5123.0)</f>
        <v>-5123</v>
      </c>
      <c r="E167" s="15">
        <f t="shared" si="1"/>
        <v>2000.89</v>
      </c>
    </row>
    <row r="168" ht="22.5" customHeight="1">
      <c r="A168" s="26">
        <f>IFERROR(__xludf.DUMMYFUNCTION("""COMPUTED_VALUE"""),46076.0)</f>
        <v>46076</v>
      </c>
      <c r="B168" s="27" t="str">
        <f>IFERROR(__xludf.DUMMYFUNCTION("""COMPUTED_VALUE"""),"NEFT CR-RBIS0CGPA01-CHANDIGARH REGIONAL OFFICE-SHASHANK AGARWAL-U000000997990159")</f>
        <v>NEFT CR-RBIS0CGPA01-CHANDIGARH REGIONAL OFFICE-SHASHANK AGARWAL-U000000997990159</v>
      </c>
      <c r="C168" s="28" t="str">
        <f>IFERROR(__xludf.DUMMYFUNCTION("""COMPUTED_VALUE"""),"Salary Credit")</f>
        <v>Salary Credit</v>
      </c>
      <c r="D168" s="15">
        <f>IFERROR(__xludf.DUMMYFUNCTION("""COMPUTED_VALUE"""),510.0)</f>
        <v>510</v>
      </c>
      <c r="E168" s="15">
        <f t="shared" si="1"/>
        <v>2510.89</v>
      </c>
    </row>
    <row r="169" ht="22.5" customHeight="1">
      <c r="A169" s="26">
        <f>IFERROR(__xludf.DUMMYFUNCTION("""COMPUTED_VALUE"""),46076.0)</f>
        <v>46076</v>
      </c>
      <c r="B169" s="27" t="str">
        <f>IFERROR(__xludf.DUMMYFUNCTION("""COMPUTED_VALUE"""),"UPI-SBICAP SECURITIES LT-SBISECURITIES.RZP1.BRK@VALIDHDFC-HDFC0MERUPI-605406561965-PAYVIARAZORPAY")</f>
        <v>UPI-SBICAP SECURITIES LT-SBISECURITIES.RZP1.BRK@VALIDHDFC-HDFC0MERUPI-605406561965-PAYVIARAZORPAY</v>
      </c>
      <c r="C169" s="28" t="str">
        <f>IFERROR(__xludf.DUMMYFUNCTION("""COMPUTED_VALUE"""),"Living Expense")</f>
        <v>Living Expense</v>
      </c>
      <c r="D169" s="15">
        <f>IFERROR(__xludf.DUMMYFUNCTION("""COMPUTED_VALUE"""),-703.0)</f>
        <v>-703</v>
      </c>
      <c r="E169" s="15">
        <f t="shared" si="1"/>
        <v>1807.89</v>
      </c>
    </row>
    <row r="170" ht="22.5" customHeight="1">
      <c r="A170" s="26">
        <f>IFERROR(__xludf.DUMMYFUNCTION("""COMPUTED_VALUE"""),46076.0)</f>
        <v>46076</v>
      </c>
      <c r="B170" s="27" t="str">
        <f>IFERROR(__xludf.DUMMYFUNCTION("""COMPUTED_VALUE"""),"UPI-NAVI LIMITED-NAVILIMITED@IDFCBANK-IDFB0081188-605405380507-NAVI LIMITED FUND")</f>
        <v>UPI-NAVI LIMITED-NAVILIMITED@IDFCBANK-IDFB0081188-605405380507-NAVI LIMITED FUND</v>
      </c>
      <c r="C170" s="28" t="str">
        <f>IFERROR(__xludf.DUMMYFUNCTION("""COMPUTED_VALUE"""),"Salary Credit")</f>
        <v>Salary Credit</v>
      </c>
      <c r="D170" s="15">
        <f>IFERROR(__xludf.DUMMYFUNCTION("""COMPUTED_VALUE"""),2.0)</f>
        <v>2</v>
      </c>
      <c r="E170" s="15">
        <f t="shared" si="1"/>
        <v>1809.89</v>
      </c>
    </row>
    <row r="171" ht="22.5" customHeight="1">
      <c r="A171" s="26">
        <f>IFERROR(__xludf.DUMMYFUNCTION("""COMPUTED_VALUE"""),46077.0)</f>
        <v>46077</v>
      </c>
      <c r="B171" s="27" t="str">
        <f>IFERROR(__xludf.DUMMYFUNCTION("""COMPUTED_VALUE"""),"IB SS FUNDS TRANSFER DR-55000007565772")</f>
        <v>IB SS FUNDS TRANSFER DR-55000007565772</v>
      </c>
      <c r="C171" s="28" t="str">
        <f>IFERROR(__xludf.DUMMYFUNCTION("""COMPUTED_VALUE"""),"Living Expense")</f>
        <v>Living Expense</v>
      </c>
      <c r="D171" s="15">
        <f>IFERROR(__xludf.DUMMYFUNCTION("""COMPUTED_VALUE"""),-500.0)</f>
        <v>-500</v>
      </c>
      <c r="E171" s="15">
        <f t="shared" si="1"/>
        <v>1309.89</v>
      </c>
    </row>
    <row r="172" ht="22.5" customHeight="1">
      <c r="A172" s="26">
        <f>IFERROR(__xludf.DUMMYFUNCTION("""COMPUTED_VALUE"""),46077.0)</f>
        <v>46077</v>
      </c>
      <c r="B172" s="27" t="str">
        <f>IFERROR(__xludf.DUMMYFUNCTION("""COMPUTED_VALUE"""),"NEFT CR-SBIN0011777-SBICAP SECURITIES LIMITED USCNB AC-SHASHANK AGARWAL-SBIN126055847878")</f>
        <v>NEFT CR-SBIN0011777-SBICAP SECURITIES LIMITED USCNB AC-SHASHANK AGARWAL-SBIN126055847878</v>
      </c>
      <c r="C172" s="28" t="str">
        <f>IFERROR(__xludf.DUMMYFUNCTION("""COMPUTED_VALUE"""),"Salary Credit")</f>
        <v>Salary Credit</v>
      </c>
      <c r="D172" s="15">
        <f>IFERROR(__xludf.DUMMYFUNCTION("""COMPUTED_VALUE"""),69.0)</f>
        <v>69</v>
      </c>
      <c r="E172" s="15">
        <f t="shared" si="1"/>
        <v>1378.89</v>
      </c>
    </row>
    <row r="173" ht="22.5" customHeight="1">
      <c r="A173" s="26">
        <f>IFERROR(__xludf.DUMMYFUNCTION("""COMPUTED_VALUE"""),46079.0)</f>
        <v>46079</v>
      </c>
      <c r="B173" s="27" t="str">
        <f>IFERROR(__xludf.DUMMYFUNCTION("""COMPUTED_VALUE"""),"INTEREST CREDIT 50301308805651")</f>
        <v>INTEREST CREDIT 50301308805651</v>
      </c>
      <c r="C173" s="28" t="str">
        <f>IFERROR(__xludf.DUMMYFUNCTION("""COMPUTED_VALUE"""),"Salary Credit")</f>
        <v>Salary Credit</v>
      </c>
      <c r="D173" s="15">
        <f>IFERROR(__xludf.DUMMYFUNCTION("""COMPUTED_VALUE"""),3.0)</f>
        <v>3</v>
      </c>
      <c r="E173" s="15">
        <f t="shared" si="1"/>
        <v>1381.89</v>
      </c>
    </row>
    <row r="174" ht="22.5" customHeight="1">
      <c r="A174" s="26">
        <f>IFERROR(__xludf.DUMMYFUNCTION("""COMPUTED_VALUE"""),46079.0)</f>
        <v>46079</v>
      </c>
      <c r="B174" s="27" t="str">
        <f>IFERROR(__xludf.DUMMYFUNCTION("""COMPUTED_VALUE"""),"PRIN AND INT AUTO_REDEEM 50301308805651")</f>
        <v>PRIN AND INT AUTO_REDEEM 50301308805651</v>
      </c>
      <c r="C174" s="28" t="str">
        <f>IFERROR(__xludf.DUMMYFUNCTION("""COMPUTED_VALUE"""),"Salary Credit")</f>
        <v>Salary Credit</v>
      </c>
      <c r="D174" s="15">
        <f>IFERROR(__xludf.DUMMYFUNCTION("""COMPUTED_VALUE"""),5000.0)</f>
        <v>5000</v>
      </c>
      <c r="E174" s="15">
        <f t="shared" si="1"/>
        <v>6381.89</v>
      </c>
    </row>
    <row r="175" ht="22.5" customHeight="1">
      <c r="A175" s="26">
        <f>IFERROR(__xludf.DUMMYFUNCTION("""COMPUTED_VALUE"""),46080.0)</f>
        <v>46080</v>
      </c>
      <c r="B175" s="27" t="str">
        <f>IFERROR(__xludf.DUMMYFUNCTION("""COMPUTED_VALUE"""),"FD THROUGH MOBILE-50301312831021:SHASHANK AGARWAL")</f>
        <v>FD THROUGH MOBILE-50301312831021:SHASHANK AGARWAL</v>
      </c>
      <c r="C175" s="28" t="str">
        <f>IFERROR(__xludf.DUMMYFUNCTION("""COMPUTED_VALUE"""),"Living Expense")</f>
        <v>Living Expense</v>
      </c>
      <c r="D175" s="15">
        <f>IFERROR(__xludf.DUMMYFUNCTION("""COMPUTED_VALUE"""),-5000.0)</f>
        <v>-5000</v>
      </c>
      <c r="E175" s="15">
        <f t="shared" si="1"/>
        <v>1381.89</v>
      </c>
    </row>
    <row r="176" ht="22.5" customHeight="1">
      <c r="A176" s="26">
        <f>IFERROR(__xludf.DUMMYFUNCTION("""COMPUTED_VALUE"""),46081.0)</f>
        <v>46081</v>
      </c>
      <c r="B176" s="27" t="str">
        <f>IFERROR(__xludf.DUMMYFUNCTION("""COMPUTED_VALUE"""),"UPI-NAGPAL PURE VEG FOOD-VYAPAR.168746225950@HDFCBANK-HDFC0MERUPI-121698510596-UPI")</f>
        <v>UPI-NAGPAL PURE VEG FOOD-VYAPAR.168746225950@HDFCBANK-HDFC0MERUPI-121698510596-UPI</v>
      </c>
      <c r="C176" s="28" t="str">
        <f>IFERROR(__xludf.DUMMYFUNCTION("""COMPUTED_VALUE"""),"Living Expense")</f>
        <v>Living Expense</v>
      </c>
      <c r="D176" s="15">
        <f>IFERROR(__xludf.DUMMYFUNCTION("""COMPUTED_VALUE"""),-710.0)</f>
        <v>-710</v>
      </c>
      <c r="E176" s="15">
        <f t="shared" si="1"/>
        <v>671.89</v>
      </c>
    </row>
    <row r="177" ht="22.5" customHeight="1">
      <c r="A177" s="26">
        <f>IFERROR(__xludf.DUMMYFUNCTION("""COMPUTED_VALUE"""),46083.0)</f>
        <v>46083</v>
      </c>
      <c r="B177" s="27" t="str">
        <f>IFERROR(__xludf.DUMMYFUNCTION("""COMPUTED_VALUE"""),"INTEREST CREDIT 50301310688845")</f>
        <v>INTEREST CREDIT 50301310688845</v>
      </c>
      <c r="C177" s="28" t="str">
        <f>IFERROR(__xludf.DUMMYFUNCTION("""COMPUTED_VALUE"""),"Salary Credit")</f>
        <v>Salary Credit</v>
      </c>
      <c r="D177" s="15">
        <f>IFERROR(__xludf.DUMMYFUNCTION("""COMPUTED_VALUE"""),3.0)</f>
        <v>3</v>
      </c>
      <c r="E177" s="15">
        <f t="shared" si="1"/>
        <v>674.89</v>
      </c>
    </row>
    <row r="178" ht="22.5" customHeight="1">
      <c r="A178" s="26">
        <f>IFERROR(__xludf.DUMMYFUNCTION("""COMPUTED_VALUE"""),46083.0)</f>
        <v>46083</v>
      </c>
      <c r="B178" s="27" t="str">
        <f>IFERROR(__xludf.DUMMYFUNCTION("""COMPUTED_VALUE"""),"PRIN AND INT AUTO_REDEEM 50301310688845")</f>
        <v>PRIN AND INT AUTO_REDEEM 50301310688845</v>
      </c>
      <c r="C178" s="28" t="str">
        <f>IFERROR(__xludf.DUMMYFUNCTION("""COMPUTED_VALUE"""),"Salary Credit")</f>
        <v>Salary Credit</v>
      </c>
      <c r="D178" s="15">
        <f>IFERROR(__xludf.DUMMYFUNCTION("""COMPUTED_VALUE"""),5123.0)</f>
        <v>5123</v>
      </c>
      <c r="E178" s="15">
        <f t="shared" si="1"/>
        <v>5797.89</v>
      </c>
    </row>
    <row r="179" ht="22.5" customHeight="1">
      <c r="A179" s="26">
        <f>IFERROR(__xludf.DUMMYFUNCTION("""COMPUTED_VALUE"""),46083.0)</f>
        <v>46083</v>
      </c>
      <c r="B179" s="27" t="str">
        <f>IFERROR(__xludf.DUMMYFUNCTION("""COMPUTED_VALUE"""),"UPI-SBICAP SECURITIES LT-SBISECURITIES.RZP1.BRK@VALIDHDFC-HDFC0MERUPI-410376950616-PAYVIARAZORPAY")</f>
        <v>UPI-SBICAP SECURITIES LT-SBISECURITIES.RZP1.BRK@VALIDHDFC-HDFC0MERUPI-410376950616-PAYVIARAZORPAY</v>
      </c>
      <c r="C179" s="28" t="str">
        <f>IFERROR(__xludf.DUMMYFUNCTION("""COMPUTED_VALUE"""),"Living Expense")</f>
        <v>Living Expense</v>
      </c>
      <c r="D179" s="15">
        <f>IFERROR(__xludf.DUMMYFUNCTION("""COMPUTED_VALUE"""),-316.87)</f>
        <v>-316.87</v>
      </c>
      <c r="E179" s="15">
        <f t="shared" si="1"/>
        <v>5481.02</v>
      </c>
    </row>
    <row r="180" ht="22.5" customHeight="1">
      <c r="A180" s="26">
        <f>IFERROR(__xludf.DUMMYFUNCTION("""COMPUTED_VALUE"""),46083.0)</f>
        <v>46083</v>
      </c>
      <c r="B180" s="27" t="str">
        <f>IFERROR(__xludf.DUMMYFUNCTION("""COMPUTED_VALUE"""),"IMPS P2P 532407918485#20/11/2025-EPR2606124885434")</f>
        <v>IMPS P2P 532407918485#20/11/2025-EPR2606124885434</v>
      </c>
      <c r="C180" s="28" t="str">
        <f>IFERROR(__xludf.DUMMYFUNCTION("""COMPUTED_VALUE"""),"Living Expense")</f>
        <v>Living Expense</v>
      </c>
      <c r="D180" s="15">
        <f>IFERROR(__xludf.DUMMYFUNCTION("""COMPUTED_VALUE"""),-5.9)</f>
        <v>-5.9</v>
      </c>
      <c r="E180" s="15">
        <f t="shared" si="1"/>
        <v>5475.12</v>
      </c>
    </row>
    <row r="181" ht="22.5" customHeight="1">
      <c r="A181" s="26">
        <f>IFERROR(__xludf.DUMMYFUNCTION("""COMPUTED_VALUE"""),46085.0)</f>
        <v>46085</v>
      </c>
      <c r="B181" s="27" t="str">
        <f>IFERROR(__xludf.DUMMYFUNCTION("""COMPUTED_VALUE"""),"UPI-SBICAP SECURITIES ON-SBICAPSEC.NTTU.BRK@VALIDHDFC-HDFC0MERUPI-102842269189-ATOM")</f>
        <v>UPI-SBICAP SECURITIES ON-SBICAPSEC.NTTU.BRK@VALIDHDFC-HDFC0MERUPI-102842269189-ATOM</v>
      </c>
      <c r="C181" s="28" t="str">
        <f>IFERROR(__xludf.DUMMYFUNCTION("""COMPUTED_VALUE"""),"Demat ")</f>
        <v>Demat </v>
      </c>
      <c r="D181" s="15">
        <f>IFERROR(__xludf.DUMMYFUNCTION("""COMPUTED_VALUE"""),-1500.0)</f>
        <v>-1500</v>
      </c>
      <c r="E181" s="15">
        <f t="shared" si="1"/>
        <v>3975.12</v>
      </c>
    </row>
    <row r="182" ht="22.5" customHeight="1">
      <c r="A182" s="26">
        <f>IFERROR(__xludf.DUMMYFUNCTION("""COMPUTED_VALUE"""),46085.0)</f>
        <v>46085</v>
      </c>
      <c r="B182" s="27" t="str">
        <f>IFERROR(__xludf.DUMMYFUNCTION("""COMPUTED_VALUE"""),"UPI-SBICAP SECURITIES ON-SBICAPSEC.NTTU.BRK@VALIDHDFC-HDFC0MERUPI-102842358135-ATOM")</f>
        <v>UPI-SBICAP SECURITIES ON-SBICAPSEC.NTTU.BRK@VALIDHDFC-HDFC0MERUPI-102842358135-ATOM</v>
      </c>
      <c r="C182" s="28" t="str">
        <f>IFERROR(__xludf.DUMMYFUNCTION("""COMPUTED_VALUE"""),"Demat ")</f>
        <v>Demat </v>
      </c>
      <c r="D182" s="15">
        <f>IFERROR(__xludf.DUMMYFUNCTION("""COMPUTED_VALUE"""),-500.0)</f>
        <v>-500</v>
      </c>
      <c r="E182" s="15">
        <f t="shared" si="1"/>
        <v>3475.12</v>
      </c>
    </row>
    <row r="183" ht="22.5" customHeight="1">
      <c r="A183" s="26">
        <f>IFERROR(__xludf.DUMMYFUNCTION("""COMPUTED_VALUE"""),46085.0)</f>
        <v>46085</v>
      </c>
      <c r="B183" s="27" t="str">
        <f>IFERROR(__xludf.DUMMYFUNCTION("""COMPUTED_VALUE"""),"UPI-SBICAP SECURITIES ON-SBICAPSEC.NTTU.BRK@VALIDHDFC-HDFC0MERUPI-102842371975-ATOM")</f>
        <v>UPI-SBICAP SECURITIES ON-SBICAPSEC.NTTU.BRK@VALIDHDFC-HDFC0MERUPI-102842371975-ATOM</v>
      </c>
      <c r="C183" s="28" t="str">
        <f>IFERROR(__xludf.DUMMYFUNCTION("""COMPUTED_VALUE"""),"Demat ")</f>
        <v>Demat </v>
      </c>
      <c r="D183" s="15">
        <f>IFERROR(__xludf.DUMMYFUNCTION("""COMPUTED_VALUE"""),-100.0)</f>
        <v>-100</v>
      </c>
      <c r="E183" s="15">
        <f t="shared" si="1"/>
        <v>3375.12</v>
      </c>
    </row>
    <row r="184" ht="22.5" customHeight="1">
      <c r="A184" s="26">
        <f>IFERROR(__xludf.DUMMYFUNCTION("""COMPUTED_VALUE"""),46085.0)</f>
        <v>46085</v>
      </c>
      <c r="B184" s="27" t="str">
        <f>IFERROR(__xludf.DUMMYFUNCTION("""COMPUTED_VALUE"""),"UPI-SBICAP SECURITIES LT-SBISECURITIES.RZP1.BRK@VALIDHDFC-HDFC0MERUPI-606354738047-PAYVIARAZORPAY")</f>
        <v>UPI-SBICAP SECURITIES LT-SBISECURITIES.RZP1.BRK@VALIDHDFC-HDFC0MERUPI-606354738047-PAYVIARAZORPAY</v>
      </c>
      <c r="C184" s="28" t="str">
        <f>IFERROR(__xludf.DUMMYFUNCTION("""COMPUTED_VALUE"""),"Demat ")</f>
        <v>Demat </v>
      </c>
      <c r="D184" s="15">
        <f>IFERROR(__xludf.DUMMYFUNCTION("""COMPUTED_VALUE"""),-198.55)</f>
        <v>-198.55</v>
      </c>
      <c r="E184" s="15">
        <f t="shared" si="1"/>
        <v>3176.57</v>
      </c>
    </row>
    <row r="185" ht="22.5" customHeight="1">
      <c r="A185" s="26">
        <f>IFERROR(__xludf.DUMMYFUNCTION("""COMPUTED_VALUE"""),46085.0)</f>
        <v>46085</v>
      </c>
      <c r="B185" s="27" t="str">
        <f>IFERROR(__xludf.DUMMYFUNCTION("""COMPUTED_VALUE"""),"UPI-SBICAP SECURITIES LT-SBISECURITIES.RZP1.BRK@VALIDHDFC-HDFC0MERUPI-606354825303-PAYVIARAZORPAY")</f>
        <v>UPI-SBICAP SECURITIES LT-SBISECURITIES.RZP1.BRK@VALIDHDFC-HDFC0MERUPI-606354825303-PAYVIARAZORPAY</v>
      </c>
      <c r="C185" s="28" t="str">
        <f>IFERROR(__xludf.DUMMYFUNCTION("""COMPUTED_VALUE"""),"Demat ")</f>
        <v>Demat </v>
      </c>
      <c r="D185" s="15">
        <f>IFERROR(__xludf.DUMMYFUNCTION("""COMPUTED_VALUE"""),-198.98)</f>
        <v>-198.98</v>
      </c>
      <c r="E185" s="15">
        <f t="shared" si="1"/>
        <v>2977.59</v>
      </c>
    </row>
    <row r="186" ht="22.5" customHeight="1">
      <c r="A186" s="26">
        <f>IFERROR(__xludf.DUMMYFUNCTION("""COMPUTED_VALUE"""),46087.0)</f>
        <v>46087</v>
      </c>
      <c r="B186" s="27" t="str">
        <f>IFERROR(__xludf.DUMMYFUNCTION("""COMPUTED_VALUE"""),"INTEREST CREDIT 50301312831021")</f>
        <v>INTEREST CREDIT 50301312831021</v>
      </c>
      <c r="C186" s="28" t="str">
        <f>IFERROR(__xludf.DUMMYFUNCTION("""COMPUTED_VALUE"""),"Salary Credit")</f>
        <v>Salary Credit</v>
      </c>
      <c r="D186" s="15">
        <f>IFERROR(__xludf.DUMMYFUNCTION("""COMPUTED_VALUE"""),3.0)</f>
        <v>3</v>
      </c>
      <c r="E186" s="15">
        <f t="shared" si="1"/>
        <v>2980.59</v>
      </c>
    </row>
    <row r="187" ht="22.5" customHeight="1">
      <c r="A187" s="26">
        <f>IFERROR(__xludf.DUMMYFUNCTION("""COMPUTED_VALUE"""),46087.0)</f>
        <v>46087</v>
      </c>
      <c r="B187" s="27" t="str">
        <f>IFERROR(__xludf.DUMMYFUNCTION("""COMPUTED_VALUE"""),"PRIN AND INT AUTO_REDEEM 50301312831021")</f>
        <v>PRIN AND INT AUTO_REDEEM 50301312831021</v>
      </c>
      <c r="C187" s="28" t="str">
        <f>IFERROR(__xludf.DUMMYFUNCTION("""COMPUTED_VALUE"""),"Salary Credit")</f>
        <v>Salary Credit</v>
      </c>
      <c r="D187" s="15">
        <f>IFERROR(__xludf.DUMMYFUNCTION("""COMPUTED_VALUE"""),5000.0)</f>
        <v>5000</v>
      </c>
      <c r="E187" s="15">
        <f t="shared" si="1"/>
        <v>7980.59</v>
      </c>
    </row>
    <row r="188" ht="22.5" customHeight="1">
      <c r="A188" s="26">
        <f>IFERROR(__xludf.DUMMYFUNCTION("""COMPUTED_VALUE"""),46087.0)</f>
        <v>46087</v>
      </c>
      <c r="B188" s="27" t="str">
        <f>IFERROR(__xludf.DUMMYFUNCTION("""COMPUTED_VALUE"""),"UPI-JOT SINGH-JR2933322-1@OKHDFCBANK-HDFC0005246-267414000656-UPI")</f>
        <v>UPI-JOT SINGH-JR2933322-1@OKHDFCBANK-HDFC0005246-267414000656-UPI</v>
      </c>
      <c r="C188" s="28" t="str">
        <f>IFERROR(__xludf.DUMMYFUNCTION("""COMPUTED_VALUE"""),"Living Expense")</f>
        <v>Living Expense</v>
      </c>
      <c r="D188" s="15">
        <f>IFERROR(__xludf.DUMMYFUNCTION("""COMPUTED_VALUE"""),-1190.0)</f>
        <v>-1190</v>
      </c>
      <c r="E188" s="15">
        <f t="shared" si="1"/>
        <v>6790.59</v>
      </c>
    </row>
    <row r="189" ht="22.5" customHeight="1">
      <c r="A189" s="26"/>
      <c r="B189" s="27"/>
      <c r="C189" s="28"/>
      <c r="D189" s="15"/>
      <c r="E189" s="15">
        <f t="shared" si="1"/>
        <v>6790.59</v>
      </c>
    </row>
    <row r="190" ht="22.5" customHeight="1">
      <c r="A190" s="26"/>
      <c r="B190" s="27"/>
      <c r="C190" s="28"/>
      <c r="D190" s="15"/>
      <c r="E190" s="15">
        <f t="shared" si="1"/>
        <v>6790.59</v>
      </c>
    </row>
    <row r="191" ht="22.5" customHeight="1">
      <c r="A191" s="26"/>
      <c r="B191" s="27"/>
      <c r="C191" s="28"/>
      <c r="D191" s="15"/>
      <c r="E191" s="15">
        <f t="shared" si="1"/>
        <v>6790.59</v>
      </c>
    </row>
    <row r="192" ht="22.5" customHeight="1">
      <c r="A192" s="26"/>
      <c r="B192" s="27"/>
      <c r="C192" s="28"/>
      <c r="D192" s="15"/>
      <c r="E192" s="15">
        <f t="shared" si="1"/>
        <v>6790.59</v>
      </c>
    </row>
    <row r="193" ht="22.5" customHeight="1">
      <c r="A193" s="26"/>
      <c r="B193" s="27"/>
      <c r="C193" s="28"/>
      <c r="D193" s="15"/>
      <c r="E193" s="15">
        <f t="shared" si="1"/>
        <v>6790.59</v>
      </c>
    </row>
    <row r="194" ht="22.5" customHeight="1">
      <c r="A194" s="26"/>
      <c r="B194" s="27"/>
      <c r="C194" s="28"/>
      <c r="D194" s="15"/>
      <c r="E194" s="15">
        <f t="shared" si="1"/>
        <v>6790.59</v>
      </c>
    </row>
    <row r="195" ht="22.5" customHeight="1">
      <c r="A195" s="26"/>
      <c r="B195" s="27"/>
      <c r="C195" s="28"/>
      <c r="D195" s="15"/>
      <c r="E195" s="15">
        <f t="shared" si="1"/>
        <v>6790.59</v>
      </c>
    </row>
    <row r="196" ht="22.5" customHeight="1">
      <c r="A196" s="26"/>
      <c r="B196" s="27"/>
      <c r="C196" s="28"/>
      <c r="D196" s="15"/>
      <c r="E196" s="15">
        <f t="shared" si="1"/>
        <v>6790.59</v>
      </c>
    </row>
    <row r="197" ht="22.5" customHeight="1">
      <c r="A197" s="26"/>
      <c r="B197" s="27"/>
      <c r="C197" s="28"/>
      <c r="D197" s="15"/>
      <c r="E197" s="15">
        <f t="shared" si="1"/>
        <v>6790.59</v>
      </c>
    </row>
    <row r="198" ht="22.5" customHeight="1">
      <c r="A198" s="26"/>
      <c r="B198" s="27"/>
      <c r="C198" s="28"/>
      <c r="D198" s="15"/>
      <c r="E198" s="15">
        <f t="shared" si="1"/>
        <v>6790.59</v>
      </c>
    </row>
    <row r="199" ht="22.5" customHeight="1">
      <c r="A199" s="26"/>
      <c r="B199" s="27"/>
      <c r="C199" s="28"/>
      <c r="D199" s="15"/>
      <c r="E199" s="15">
        <f t="shared" si="1"/>
        <v>6790.59</v>
      </c>
    </row>
    <row r="200" ht="22.5" customHeight="1">
      <c r="A200" s="26"/>
      <c r="B200" s="27"/>
      <c r="C200" s="28"/>
      <c r="D200" s="15"/>
      <c r="E200" s="15">
        <f t="shared" si="1"/>
        <v>6790.59</v>
      </c>
    </row>
    <row r="201" ht="22.5" customHeight="1">
      <c r="A201" s="26"/>
      <c r="B201" s="27"/>
      <c r="C201" s="28"/>
      <c r="D201" s="15"/>
      <c r="E201" s="15">
        <f t="shared" si="1"/>
        <v>6790.59</v>
      </c>
    </row>
    <row r="202" ht="22.5" customHeight="1">
      <c r="A202" s="26"/>
      <c r="B202" s="27"/>
      <c r="C202" s="28"/>
      <c r="D202" s="15"/>
      <c r="E202" s="15">
        <f t="shared" si="1"/>
        <v>6790.59</v>
      </c>
    </row>
    <row r="203" ht="22.5" customHeight="1">
      <c r="A203" s="26"/>
      <c r="B203" s="27"/>
      <c r="C203" s="28"/>
      <c r="D203" s="15"/>
      <c r="E203" s="15">
        <f t="shared" si="1"/>
        <v>6790.59</v>
      </c>
    </row>
    <row r="204" ht="22.5" customHeight="1">
      <c r="A204" s="26"/>
      <c r="B204" s="27"/>
      <c r="C204" s="28"/>
      <c r="D204" s="15"/>
      <c r="E204" s="15">
        <f t="shared" si="1"/>
        <v>6790.59</v>
      </c>
    </row>
    <row r="205" ht="22.5" customHeight="1">
      <c r="A205" s="26"/>
      <c r="B205" s="27"/>
      <c r="C205" s="28"/>
      <c r="D205" s="15"/>
      <c r="E205" s="15">
        <f t="shared" si="1"/>
        <v>6790.59</v>
      </c>
    </row>
    <row r="206" ht="22.5" customHeight="1">
      <c r="A206" s="26"/>
      <c r="B206" s="27"/>
      <c r="C206" s="28"/>
      <c r="D206" s="15"/>
      <c r="E206" s="15">
        <f t="shared" si="1"/>
        <v>6790.59</v>
      </c>
    </row>
    <row r="207" ht="22.5" customHeight="1">
      <c r="A207" s="26"/>
      <c r="B207" s="27"/>
      <c r="C207" s="28"/>
      <c r="D207" s="15"/>
      <c r="E207" s="15">
        <f t="shared" si="1"/>
        <v>6790.59</v>
      </c>
    </row>
    <row r="208" ht="22.5" customHeight="1">
      <c r="A208" s="26"/>
      <c r="B208" s="27"/>
      <c r="C208" s="28"/>
      <c r="D208" s="15"/>
      <c r="E208" s="15">
        <f t="shared" si="1"/>
        <v>6790.59</v>
      </c>
    </row>
    <row r="209" ht="22.5" customHeight="1">
      <c r="A209" s="26"/>
      <c r="B209" s="27"/>
      <c r="C209" s="28"/>
      <c r="D209" s="15"/>
      <c r="E209" s="15">
        <f t="shared" si="1"/>
        <v>6790.59</v>
      </c>
    </row>
    <row r="210" ht="22.5" customHeight="1">
      <c r="A210" s="26"/>
      <c r="B210" s="27"/>
      <c r="C210" s="28"/>
      <c r="D210" s="15"/>
      <c r="E210" s="15">
        <f t="shared" si="1"/>
        <v>6790.59</v>
      </c>
    </row>
    <row r="211" ht="22.5" customHeight="1">
      <c r="A211" s="26"/>
      <c r="B211" s="27"/>
      <c r="C211" s="28"/>
      <c r="D211" s="15"/>
      <c r="E211" s="15">
        <f t="shared" si="1"/>
        <v>6790.59</v>
      </c>
    </row>
    <row r="212" ht="22.5" customHeight="1">
      <c r="A212" s="26"/>
      <c r="B212" s="27"/>
      <c r="C212" s="28"/>
      <c r="D212" s="15"/>
      <c r="E212" s="15">
        <f t="shared" si="1"/>
        <v>6790.59</v>
      </c>
    </row>
    <row r="213" ht="22.5" customHeight="1">
      <c r="A213" s="26"/>
      <c r="B213" s="27"/>
      <c r="C213" s="28"/>
      <c r="D213" s="15"/>
      <c r="E213" s="15">
        <f t="shared" si="1"/>
        <v>6790.59</v>
      </c>
    </row>
    <row r="214" ht="22.5" customHeight="1">
      <c r="A214" s="26"/>
      <c r="B214" s="27"/>
      <c r="C214" s="28"/>
      <c r="D214" s="15"/>
      <c r="E214" s="15">
        <f t="shared" si="1"/>
        <v>6790.59</v>
      </c>
    </row>
    <row r="215" ht="22.5" customHeight="1">
      <c r="A215" s="26"/>
      <c r="B215" s="27"/>
      <c r="C215" s="28"/>
      <c r="D215" s="15"/>
      <c r="E215" s="15">
        <f t="shared" si="1"/>
        <v>6790.59</v>
      </c>
    </row>
    <row r="216" ht="22.5" customHeight="1">
      <c r="A216" s="26"/>
      <c r="B216" s="27"/>
      <c r="C216" s="28"/>
      <c r="D216" s="15"/>
      <c r="E216" s="15">
        <f t="shared" si="1"/>
        <v>6790.59</v>
      </c>
    </row>
    <row r="217" ht="22.5" customHeight="1">
      <c r="A217" s="26"/>
      <c r="B217" s="27"/>
      <c r="C217" s="28"/>
      <c r="D217" s="15"/>
      <c r="E217" s="15">
        <f t="shared" si="1"/>
        <v>6790.59</v>
      </c>
    </row>
    <row r="218" ht="22.5" customHeight="1">
      <c r="A218" s="26"/>
      <c r="B218" s="27"/>
      <c r="C218" s="28"/>
      <c r="D218" s="15"/>
      <c r="E218" s="15">
        <f t="shared" si="1"/>
        <v>6790.59</v>
      </c>
    </row>
    <row r="219" ht="22.5" customHeight="1">
      <c r="A219" s="26"/>
      <c r="B219" s="27"/>
      <c r="C219" s="28"/>
      <c r="D219" s="15"/>
      <c r="E219" s="15">
        <f t="shared" si="1"/>
        <v>6790.59</v>
      </c>
    </row>
    <row r="220" ht="22.5" customHeight="1">
      <c r="A220" s="26"/>
      <c r="B220" s="27"/>
      <c r="C220" s="28"/>
      <c r="D220" s="15"/>
      <c r="E220" s="15">
        <f t="shared" si="1"/>
        <v>6790.59</v>
      </c>
    </row>
    <row r="221" ht="22.5" customHeight="1">
      <c r="A221" s="26"/>
      <c r="B221" s="27"/>
      <c r="C221" s="28"/>
      <c r="D221" s="15"/>
      <c r="E221" s="15">
        <f t="shared" si="1"/>
        <v>6790.59</v>
      </c>
    </row>
    <row r="222" ht="22.5" customHeight="1">
      <c r="A222" s="26"/>
      <c r="B222" s="27"/>
      <c r="C222" s="28"/>
      <c r="D222" s="15"/>
      <c r="E222" s="15">
        <f t="shared" si="1"/>
        <v>6790.59</v>
      </c>
    </row>
    <row r="223" ht="22.5" customHeight="1">
      <c r="A223" s="26"/>
      <c r="B223" s="27"/>
      <c r="C223" s="28"/>
      <c r="D223" s="15"/>
      <c r="E223" s="15">
        <f t="shared" si="1"/>
        <v>6790.59</v>
      </c>
    </row>
    <row r="224" ht="22.5" customHeight="1">
      <c r="A224" s="26"/>
      <c r="B224" s="27"/>
      <c r="C224" s="28"/>
      <c r="D224" s="15"/>
      <c r="E224" s="15">
        <f t="shared" si="1"/>
        <v>6790.59</v>
      </c>
    </row>
    <row r="225" ht="22.5" customHeight="1">
      <c r="A225" s="26"/>
      <c r="B225" s="27"/>
      <c r="C225" s="28"/>
      <c r="D225" s="15"/>
      <c r="E225" s="15">
        <f t="shared" si="1"/>
        <v>6790.59</v>
      </c>
    </row>
    <row r="226" ht="22.5" customHeight="1">
      <c r="A226" s="26"/>
      <c r="B226" s="27"/>
      <c r="C226" s="28"/>
      <c r="D226" s="15"/>
      <c r="E226" s="15">
        <f t="shared" si="1"/>
        <v>6790.59</v>
      </c>
    </row>
    <row r="227" ht="22.5" customHeight="1">
      <c r="A227" s="26"/>
      <c r="B227" s="27"/>
      <c r="C227" s="28"/>
      <c r="D227" s="15"/>
      <c r="E227" s="15">
        <f t="shared" si="1"/>
        <v>6790.59</v>
      </c>
    </row>
    <row r="228" ht="22.5" customHeight="1">
      <c r="A228" s="26"/>
      <c r="B228" s="27"/>
      <c r="C228" s="28"/>
      <c r="D228" s="15"/>
      <c r="E228" s="15">
        <f t="shared" si="1"/>
        <v>6790.59</v>
      </c>
    </row>
    <row r="229" ht="22.5" customHeight="1">
      <c r="A229" s="26"/>
      <c r="B229" s="27"/>
      <c r="C229" s="28"/>
      <c r="D229" s="15"/>
      <c r="E229" s="15">
        <f t="shared" si="1"/>
        <v>6790.59</v>
      </c>
    </row>
    <row r="230" ht="22.5" customHeight="1">
      <c r="A230" s="26"/>
      <c r="B230" s="27"/>
      <c r="C230" s="28"/>
      <c r="D230" s="15"/>
      <c r="E230" s="15">
        <f t="shared" si="1"/>
        <v>6790.59</v>
      </c>
    </row>
    <row r="231" ht="22.5" customHeight="1">
      <c r="A231" s="26"/>
      <c r="B231" s="27"/>
      <c r="C231" s="28"/>
      <c r="D231" s="15"/>
      <c r="E231" s="15">
        <f t="shared" si="1"/>
        <v>6790.59</v>
      </c>
    </row>
    <row r="232" ht="22.5" customHeight="1">
      <c r="A232" s="26"/>
      <c r="B232" s="27"/>
      <c r="C232" s="28"/>
      <c r="D232" s="15"/>
      <c r="E232" s="15">
        <f t="shared" si="1"/>
        <v>6790.59</v>
      </c>
    </row>
    <row r="233" ht="22.5" customHeight="1">
      <c r="A233" s="26"/>
      <c r="B233" s="27"/>
      <c r="C233" s="28"/>
      <c r="D233" s="15"/>
      <c r="E233" s="15">
        <f t="shared" si="1"/>
        <v>6790.59</v>
      </c>
    </row>
    <row r="234" ht="22.5" customHeight="1">
      <c r="A234" s="26"/>
      <c r="B234" s="27"/>
      <c r="C234" s="28"/>
      <c r="D234" s="15"/>
      <c r="E234" s="15">
        <f t="shared" si="1"/>
        <v>6790.59</v>
      </c>
    </row>
    <row r="235" ht="22.5" customHeight="1">
      <c r="A235" s="26"/>
      <c r="B235" s="27"/>
      <c r="C235" s="28"/>
      <c r="D235" s="15"/>
      <c r="E235" s="15">
        <f t="shared" si="1"/>
        <v>6790.59</v>
      </c>
    </row>
    <row r="236" ht="22.5" customHeight="1">
      <c r="A236" s="26"/>
      <c r="B236" s="27"/>
      <c r="C236" s="28"/>
      <c r="D236" s="15"/>
      <c r="E236" s="15">
        <f t="shared" si="1"/>
        <v>6790.59</v>
      </c>
    </row>
    <row r="237" ht="22.5" customHeight="1">
      <c r="A237" s="26"/>
      <c r="B237" s="27"/>
      <c r="C237" s="28"/>
      <c r="D237" s="15"/>
      <c r="E237" s="15">
        <f t="shared" si="1"/>
        <v>6790.59</v>
      </c>
    </row>
    <row r="238" ht="22.5" customHeight="1">
      <c r="A238" s="26"/>
      <c r="B238" s="27"/>
      <c r="C238" s="28"/>
      <c r="D238" s="15"/>
      <c r="E238" s="15">
        <f t="shared" si="1"/>
        <v>6790.59</v>
      </c>
    </row>
    <row r="239" ht="22.5" customHeight="1">
      <c r="A239" s="26"/>
      <c r="B239" s="27"/>
      <c r="C239" s="28"/>
      <c r="D239" s="15"/>
      <c r="E239" s="15">
        <f t="shared" si="1"/>
        <v>6790.59</v>
      </c>
    </row>
    <row r="240" ht="22.5" customHeight="1">
      <c r="A240" s="26"/>
      <c r="B240" s="27"/>
      <c r="C240" s="28"/>
      <c r="D240" s="15"/>
      <c r="E240" s="15">
        <f t="shared" si="1"/>
        <v>6790.59</v>
      </c>
    </row>
    <row r="241" ht="22.5" customHeight="1">
      <c r="A241" s="26"/>
      <c r="B241" s="27"/>
      <c r="C241" s="28"/>
      <c r="D241" s="15"/>
      <c r="E241" s="15">
        <f t="shared" si="1"/>
        <v>6790.59</v>
      </c>
    </row>
    <row r="242" ht="22.5" customHeight="1">
      <c r="A242" s="26"/>
      <c r="B242" s="27"/>
      <c r="C242" s="28"/>
      <c r="D242" s="15"/>
      <c r="E242" s="15">
        <f t="shared" si="1"/>
        <v>6790.59</v>
      </c>
    </row>
    <row r="243" ht="22.5" customHeight="1">
      <c r="A243" s="26"/>
      <c r="B243" s="27"/>
      <c r="C243" s="28"/>
      <c r="D243" s="15"/>
      <c r="E243" s="15">
        <f t="shared" si="1"/>
        <v>6790.59</v>
      </c>
    </row>
    <row r="244" ht="22.5" customHeight="1">
      <c r="A244" s="26"/>
      <c r="B244" s="27"/>
      <c r="C244" s="28"/>
      <c r="D244" s="15"/>
      <c r="E244" s="15">
        <f t="shared" si="1"/>
        <v>6790.59</v>
      </c>
    </row>
    <row r="245" ht="22.5" customHeight="1">
      <c r="A245" s="26"/>
      <c r="B245" s="27"/>
      <c r="C245" s="28"/>
      <c r="D245" s="15"/>
      <c r="E245" s="15">
        <f t="shared" si="1"/>
        <v>6790.59</v>
      </c>
    </row>
    <row r="246" ht="22.5" customHeight="1">
      <c r="A246" s="26"/>
      <c r="B246" s="27"/>
      <c r="C246" s="28"/>
      <c r="D246" s="15"/>
      <c r="E246" s="15">
        <f t="shared" si="1"/>
        <v>6790.59</v>
      </c>
    </row>
    <row r="247" ht="22.5" customHeight="1">
      <c r="A247" s="26"/>
      <c r="B247" s="27"/>
      <c r="C247" s="28"/>
      <c r="D247" s="15"/>
      <c r="E247" s="15">
        <f t="shared" si="1"/>
        <v>6790.59</v>
      </c>
    </row>
    <row r="248" ht="22.5" customHeight="1">
      <c r="A248" s="26"/>
      <c r="B248" s="27"/>
      <c r="C248" s="28"/>
      <c r="D248" s="15"/>
      <c r="E248" s="15">
        <f t="shared" si="1"/>
        <v>6790.59</v>
      </c>
    </row>
    <row r="249" ht="22.5" customHeight="1">
      <c r="A249" s="26"/>
      <c r="B249" s="27"/>
      <c r="C249" s="28"/>
      <c r="D249" s="15"/>
      <c r="E249" s="15">
        <f t="shared" si="1"/>
        <v>6790.59</v>
      </c>
    </row>
    <row r="250" ht="22.5" customHeight="1">
      <c r="A250" s="26"/>
      <c r="B250" s="27"/>
      <c r="C250" s="28"/>
      <c r="D250" s="15"/>
      <c r="E250" s="15">
        <f t="shared" si="1"/>
        <v>6790.59</v>
      </c>
    </row>
    <row r="251" ht="22.5" customHeight="1">
      <c r="A251" s="26"/>
      <c r="B251" s="27"/>
      <c r="C251" s="28"/>
      <c r="D251" s="15"/>
      <c r="E251" s="15">
        <f t="shared" si="1"/>
        <v>6790.59</v>
      </c>
    </row>
    <row r="252" ht="22.5" customHeight="1">
      <c r="A252" s="26"/>
      <c r="B252" s="27"/>
      <c r="C252" s="28"/>
      <c r="D252" s="15"/>
      <c r="E252" s="15">
        <f t="shared" si="1"/>
        <v>6790.59</v>
      </c>
    </row>
    <row r="253" ht="22.5" customHeight="1">
      <c r="A253" s="26"/>
      <c r="B253" s="27"/>
      <c r="C253" s="28"/>
      <c r="D253" s="15"/>
      <c r="E253" s="15">
        <f t="shared" si="1"/>
        <v>6790.59</v>
      </c>
    </row>
    <row r="254" ht="22.5" customHeight="1">
      <c r="A254" s="26"/>
      <c r="B254" s="27"/>
      <c r="C254" s="28"/>
      <c r="D254" s="15"/>
      <c r="E254" s="15">
        <f t="shared" si="1"/>
        <v>6790.59</v>
      </c>
    </row>
    <row r="255" ht="22.5" customHeight="1">
      <c r="A255" s="26"/>
      <c r="B255" s="27"/>
      <c r="C255" s="28"/>
      <c r="D255" s="15"/>
      <c r="E255" s="15">
        <f t="shared" si="1"/>
        <v>6790.59</v>
      </c>
    </row>
    <row r="256" ht="22.5" customHeight="1">
      <c r="A256" s="26"/>
      <c r="B256" s="27"/>
      <c r="C256" s="28"/>
      <c r="D256" s="15"/>
      <c r="E256" s="15">
        <f t="shared" si="1"/>
        <v>6790.59</v>
      </c>
    </row>
    <row r="257" ht="22.5" customHeight="1">
      <c r="A257" s="26"/>
      <c r="B257" s="27"/>
      <c r="C257" s="28"/>
      <c r="D257" s="15"/>
      <c r="E257" s="15">
        <f t="shared" si="1"/>
        <v>6790.59</v>
      </c>
    </row>
    <row r="258" ht="22.5" customHeight="1">
      <c r="A258" s="26"/>
      <c r="B258" s="27"/>
      <c r="C258" s="28"/>
      <c r="D258" s="15"/>
      <c r="E258" s="15">
        <f t="shared" si="1"/>
        <v>6790.59</v>
      </c>
    </row>
    <row r="259" ht="22.5" customHeight="1">
      <c r="A259" s="26"/>
      <c r="B259" s="27"/>
      <c r="C259" s="28"/>
      <c r="D259" s="15"/>
      <c r="E259" s="15">
        <f t="shared" si="1"/>
        <v>6790.59</v>
      </c>
    </row>
    <row r="260" ht="22.5" customHeight="1">
      <c r="A260" s="26"/>
      <c r="B260" s="27"/>
      <c r="C260" s="28"/>
      <c r="D260" s="15"/>
      <c r="E260" s="15">
        <f t="shared" si="1"/>
        <v>6790.59</v>
      </c>
    </row>
    <row r="261" ht="22.5" customHeight="1">
      <c r="A261" s="26"/>
      <c r="B261" s="27"/>
      <c r="C261" s="28"/>
      <c r="D261" s="15"/>
      <c r="E261" s="15">
        <f t="shared" si="1"/>
        <v>6790.59</v>
      </c>
    </row>
    <row r="262" ht="22.5" customHeight="1">
      <c r="A262" s="26"/>
      <c r="B262" s="27"/>
      <c r="C262" s="28"/>
      <c r="D262" s="15"/>
      <c r="E262" s="15">
        <f t="shared" si="1"/>
        <v>6790.59</v>
      </c>
    </row>
    <row r="263" ht="22.5" customHeight="1">
      <c r="A263" s="26"/>
      <c r="B263" s="27"/>
      <c r="C263" s="28"/>
      <c r="D263" s="15"/>
      <c r="E263" s="15">
        <f t="shared" si="1"/>
        <v>6790.59</v>
      </c>
    </row>
    <row r="264" ht="22.5" customHeight="1">
      <c r="A264" s="26"/>
      <c r="B264" s="27"/>
      <c r="C264" s="28"/>
      <c r="D264" s="15"/>
      <c r="E264" s="15">
        <f t="shared" si="1"/>
        <v>6790.59</v>
      </c>
    </row>
    <row r="265" ht="22.5" customHeight="1">
      <c r="A265" s="26"/>
      <c r="B265" s="27"/>
      <c r="C265" s="28"/>
      <c r="D265" s="15"/>
      <c r="E265" s="15">
        <f t="shared" si="1"/>
        <v>6790.59</v>
      </c>
    </row>
    <row r="266" ht="22.5" customHeight="1">
      <c r="A266" s="26"/>
      <c r="B266" s="27"/>
      <c r="C266" s="28"/>
      <c r="D266" s="15"/>
      <c r="E266" s="15">
        <f t="shared" si="1"/>
        <v>6790.59</v>
      </c>
    </row>
    <row r="267" ht="22.5" customHeight="1">
      <c r="A267" s="26"/>
      <c r="B267" s="27"/>
      <c r="C267" s="28"/>
      <c r="D267" s="15"/>
      <c r="E267" s="15">
        <f t="shared" si="1"/>
        <v>6790.59</v>
      </c>
    </row>
    <row r="268" ht="22.5" customHeight="1">
      <c r="A268" s="26"/>
      <c r="B268" s="27"/>
      <c r="C268" s="28"/>
      <c r="D268" s="15"/>
      <c r="E268" s="15">
        <f t="shared" si="1"/>
        <v>6790.59</v>
      </c>
    </row>
    <row r="269" ht="22.5" customHeight="1">
      <c r="A269" s="26"/>
      <c r="B269" s="27"/>
      <c r="C269" s="28"/>
      <c r="D269" s="15"/>
      <c r="E269" s="15">
        <f t="shared" si="1"/>
        <v>6790.59</v>
      </c>
    </row>
    <row r="270" ht="22.5" customHeight="1">
      <c r="A270" s="26"/>
      <c r="B270" s="27"/>
      <c r="C270" s="28"/>
      <c r="D270" s="15"/>
      <c r="E270" s="15">
        <f t="shared" si="1"/>
        <v>6790.59</v>
      </c>
    </row>
    <row r="271" ht="22.5" customHeight="1">
      <c r="A271" s="26"/>
      <c r="B271" s="27"/>
      <c r="C271" s="28"/>
      <c r="D271" s="15"/>
      <c r="E271" s="15">
        <f t="shared" si="1"/>
        <v>6790.59</v>
      </c>
    </row>
    <row r="272" ht="22.5" customHeight="1">
      <c r="A272" s="26"/>
      <c r="B272" s="27"/>
      <c r="C272" s="28"/>
      <c r="D272" s="15"/>
      <c r="E272" s="15">
        <f t="shared" si="1"/>
        <v>6790.59</v>
      </c>
    </row>
    <row r="273" ht="22.5" customHeight="1">
      <c r="A273" s="26"/>
      <c r="B273" s="27"/>
      <c r="C273" s="28"/>
      <c r="D273" s="15"/>
      <c r="E273" s="15">
        <f t="shared" si="1"/>
        <v>6790.59</v>
      </c>
    </row>
    <row r="274" ht="22.5" customHeight="1">
      <c r="A274" s="26"/>
      <c r="B274" s="27"/>
      <c r="C274" s="28"/>
      <c r="D274" s="15"/>
      <c r="E274" s="15">
        <f t="shared" si="1"/>
        <v>6790.59</v>
      </c>
    </row>
    <row r="275" ht="22.5" customHeight="1">
      <c r="A275" s="26"/>
      <c r="B275" s="27"/>
      <c r="C275" s="28"/>
      <c r="D275" s="15"/>
      <c r="E275" s="15">
        <f t="shared" si="1"/>
        <v>6790.59</v>
      </c>
    </row>
    <row r="276" ht="22.5" customHeight="1">
      <c r="A276" s="26"/>
      <c r="B276" s="27"/>
      <c r="C276" s="28"/>
      <c r="D276" s="15"/>
      <c r="E276" s="15">
        <f t="shared" si="1"/>
        <v>6790.59</v>
      </c>
    </row>
    <row r="277" ht="22.5" customHeight="1">
      <c r="A277" s="26"/>
      <c r="B277" s="27"/>
      <c r="C277" s="28"/>
      <c r="D277" s="15"/>
      <c r="E277" s="15">
        <f t="shared" si="1"/>
        <v>6790.59</v>
      </c>
    </row>
    <row r="278" ht="22.5" customHeight="1">
      <c r="A278" s="26"/>
      <c r="B278" s="27"/>
      <c r="C278" s="28"/>
      <c r="D278" s="15"/>
      <c r="E278" s="15">
        <f t="shared" si="1"/>
        <v>6790.59</v>
      </c>
    </row>
    <row r="279" ht="22.5" customHeight="1">
      <c r="A279" s="26"/>
      <c r="B279" s="27"/>
      <c r="C279" s="28"/>
      <c r="D279" s="15"/>
      <c r="E279" s="15">
        <f t="shared" si="1"/>
        <v>6790.59</v>
      </c>
    </row>
    <row r="280" ht="22.5" customHeight="1">
      <c r="A280" s="26"/>
      <c r="B280" s="27"/>
      <c r="C280" s="28"/>
      <c r="D280" s="15"/>
      <c r="E280" s="15">
        <f t="shared" si="1"/>
        <v>6790.59</v>
      </c>
    </row>
    <row r="281" ht="22.5" customHeight="1">
      <c r="A281" s="26"/>
      <c r="B281" s="27"/>
      <c r="C281" s="28"/>
      <c r="D281" s="15"/>
      <c r="E281" s="15">
        <f t="shared" si="1"/>
        <v>6790.59</v>
      </c>
    </row>
    <row r="282" ht="22.5" customHeight="1">
      <c r="A282" s="26"/>
      <c r="B282" s="27"/>
      <c r="C282" s="28"/>
      <c r="D282" s="15"/>
      <c r="E282" s="15">
        <f t="shared" si="1"/>
        <v>6790.59</v>
      </c>
    </row>
    <row r="283" ht="22.5" customHeight="1">
      <c r="A283" s="26"/>
      <c r="B283" s="27"/>
      <c r="C283" s="28"/>
      <c r="D283" s="15"/>
      <c r="E283" s="15">
        <f t="shared" si="1"/>
        <v>6790.59</v>
      </c>
    </row>
    <row r="284" ht="22.5" customHeight="1">
      <c r="A284" s="26"/>
      <c r="B284" s="27"/>
      <c r="C284" s="28"/>
      <c r="D284" s="15"/>
      <c r="E284" s="15">
        <f t="shared" si="1"/>
        <v>6790.59</v>
      </c>
    </row>
    <row r="285" ht="22.5" customHeight="1">
      <c r="A285" s="26"/>
      <c r="B285" s="27"/>
      <c r="C285" s="28"/>
      <c r="D285" s="15"/>
      <c r="E285" s="15">
        <f t="shared" si="1"/>
        <v>6790.59</v>
      </c>
    </row>
    <row r="286" ht="22.5" customHeight="1">
      <c r="A286" s="26"/>
      <c r="B286" s="27"/>
      <c r="C286" s="28"/>
      <c r="D286" s="15"/>
      <c r="E286" s="15">
        <f t="shared" si="1"/>
        <v>6790.59</v>
      </c>
    </row>
    <row r="287" ht="22.5" customHeight="1">
      <c r="A287" s="26"/>
      <c r="B287" s="27"/>
      <c r="C287" s="28"/>
      <c r="D287" s="15"/>
      <c r="E287" s="15">
        <f t="shared" si="1"/>
        <v>6790.59</v>
      </c>
    </row>
    <row r="288" ht="22.5" customHeight="1">
      <c r="A288" s="26"/>
      <c r="B288" s="27"/>
      <c r="C288" s="28"/>
      <c r="D288" s="15"/>
      <c r="E288" s="15">
        <f t="shared" si="1"/>
        <v>6790.59</v>
      </c>
    </row>
    <row r="289" ht="22.5" customHeight="1">
      <c r="A289" s="26"/>
      <c r="B289" s="27"/>
      <c r="C289" s="28"/>
      <c r="D289" s="15"/>
      <c r="E289" s="15">
        <f t="shared" si="1"/>
        <v>6790.59</v>
      </c>
    </row>
    <row r="290" ht="22.5" customHeight="1">
      <c r="A290" s="26"/>
      <c r="B290" s="27"/>
      <c r="C290" s="28"/>
      <c r="D290" s="15"/>
      <c r="E290" s="15">
        <f t="shared" si="1"/>
        <v>6790.59</v>
      </c>
    </row>
    <row r="291" ht="22.5" customHeight="1">
      <c r="A291" s="26"/>
      <c r="B291" s="27"/>
      <c r="C291" s="28"/>
      <c r="D291" s="15"/>
      <c r="E291" s="15">
        <f t="shared" si="1"/>
        <v>6790.59</v>
      </c>
    </row>
    <row r="292" ht="22.5" customHeight="1">
      <c r="A292" s="26"/>
      <c r="B292" s="27"/>
      <c r="C292" s="28"/>
      <c r="D292" s="15"/>
      <c r="E292" s="15">
        <f t="shared" si="1"/>
        <v>6790.59</v>
      </c>
    </row>
    <row r="293" ht="22.5" customHeight="1">
      <c r="A293" s="26"/>
      <c r="B293" s="27"/>
      <c r="C293" s="28"/>
      <c r="D293" s="15"/>
      <c r="E293" s="15">
        <f t="shared" si="1"/>
        <v>6790.59</v>
      </c>
    </row>
    <row r="294" ht="22.5" customHeight="1">
      <c r="A294" s="26"/>
      <c r="B294" s="27"/>
      <c r="C294" s="28"/>
      <c r="D294" s="15"/>
      <c r="E294" s="15">
        <f t="shared" si="1"/>
        <v>6790.59</v>
      </c>
    </row>
    <row r="295" ht="22.5" customHeight="1">
      <c r="A295" s="26"/>
      <c r="B295" s="27"/>
      <c r="C295" s="28"/>
      <c r="D295" s="15"/>
      <c r="E295" s="15">
        <f t="shared" si="1"/>
        <v>6790.59</v>
      </c>
    </row>
    <row r="296" ht="22.5" customHeight="1">
      <c r="A296" s="26"/>
      <c r="B296" s="27"/>
      <c r="C296" s="28"/>
      <c r="D296" s="15"/>
      <c r="E296" s="15">
        <f t="shared" si="1"/>
        <v>6790.59</v>
      </c>
    </row>
    <row r="297" ht="22.5" customHeight="1">
      <c r="A297" s="26"/>
      <c r="B297" s="27"/>
      <c r="C297" s="28"/>
      <c r="D297" s="15"/>
      <c r="E297" s="15">
        <f t="shared" si="1"/>
        <v>6790.59</v>
      </c>
    </row>
    <row r="298" ht="22.5" customHeight="1">
      <c r="A298" s="26"/>
      <c r="B298" s="27"/>
      <c r="C298" s="28"/>
      <c r="D298" s="15"/>
      <c r="E298" s="15">
        <f t="shared" si="1"/>
        <v>6790.59</v>
      </c>
    </row>
    <row r="299" ht="22.5" customHeight="1">
      <c r="A299" s="26"/>
      <c r="B299" s="27"/>
      <c r="C299" s="28"/>
      <c r="D299" s="15"/>
      <c r="E299" s="15">
        <f t="shared" si="1"/>
        <v>6790.59</v>
      </c>
    </row>
    <row r="300" ht="22.5" customHeight="1">
      <c r="A300" s="26"/>
      <c r="B300" s="27"/>
      <c r="C300" s="28"/>
      <c r="D300" s="15"/>
      <c r="E300" s="15">
        <f t="shared" si="1"/>
        <v>6790.59</v>
      </c>
    </row>
    <row r="301" ht="22.5" customHeight="1">
      <c r="A301" s="26"/>
      <c r="B301" s="27"/>
      <c r="C301" s="28"/>
      <c r="D301" s="15"/>
      <c r="E301" s="15">
        <f t="shared" si="1"/>
        <v>6790.59</v>
      </c>
    </row>
    <row r="302" ht="22.5" customHeight="1">
      <c r="A302" s="26"/>
      <c r="B302" s="27"/>
      <c r="C302" s="28"/>
      <c r="D302" s="15"/>
      <c r="E302" s="15">
        <f t="shared" si="1"/>
        <v>6790.59</v>
      </c>
    </row>
    <row r="303" ht="22.5" customHeight="1">
      <c r="A303" s="26"/>
      <c r="B303" s="27"/>
      <c r="C303" s="28"/>
      <c r="D303" s="15"/>
      <c r="E303" s="15">
        <f t="shared" si="1"/>
        <v>6790.59</v>
      </c>
    </row>
    <row r="304" ht="22.5" customHeight="1">
      <c r="A304" s="26"/>
      <c r="B304" s="27"/>
      <c r="C304" s="28"/>
      <c r="D304" s="15"/>
      <c r="E304" s="15">
        <f t="shared" si="1"/>
        <v>6790.59</v>
      </c>
    </row>
    <row r="305" ht="22.5" customHeight="1">
      <c r="A305" s="26"/>
      <c r="B305" s="27"/>
      <c r="C305" s="28"/>
      <c r="D305" s="15"/>
      <c r="E305" s="15">
        <f t="shared" si="1"/>
        <v>6790.59</v>
      </c>
    </row>
    <row r="306" ht="22.5" customHeight="1">
      <c r="A306" s="26"/>
      <c r="B306" s="27"/>
      <c r="C306" s="28"/>
      <c r="D306" s="15"/>
      <c r="E306" s="15">
        <f t="shared" si="1"/>
        <v>6790.59</v>
      </c>
    </row>
    <row r="307" ht="22.5" customHeight="1">
      <c r="A307" s="26"/>
      <c r="B307" s="27"/>
      <c r="C307" s="28"/>
      <c r="D307" s="15"/>
      <c r="E307" s="15">
        <f t="shared" si="1"/>
        <v>6790.59</v>
      </c>
    </row>
    <row r="308" ht="22.5" customHeight="1">
      <c r="A308" s="26"/>
      <c r="B308" s="27"/>
      <c r="C308" s="28"/>
      <c r="D308" s="15"/>
      <c r="E308" s="15">
        <f t="shared" si="1"/>
        <v>6790.59</v>
      </c>
    </row>
    <row r="309" ht="22.5" customHeight="1">
      <c r="A309" s="26"/>
      <c r="B309" s="27"/>
      <c r="C309" s="28"/>
      <c r="D309" s="15"/>
      <c r="E309" s="15">
        <f t="shared" si="1"/>
        <v>6790.59</v>
      </c>
    </row>
    <row r="310" ht="22.5" customHeight="1">
      <c r="A310" s="26"/>
      <c r="B310" s="27"/>
      <c r="C310" s="28"/>
      <c r="D310" s="15"/>
      <c r="E310" s="15">
        <f t="shared" si="1"/>
        <v>6790.59</v>
      </c>
    </row>
    <row r="311" ht="22.5" customHeight="1">
      <c r="A311" s="26"/>
      <c r="B311" s="27"/>
      <c r="C311" s="28"/>
      <c r="D311" s="15"/>
      <c r="E311" s="15">
        <f t="shared" si="1"/>
        <v>6790.59</v>
      </c>
    </row>
    <row r="312" ht="22.5" customHeight="1">
      <c r="A312" s="26"/>
      <c r="B312" s="27"/>
      <c r="C312" s="28"/>
      <c r="D312" s="15"/>
      <c r="E312" s="15">
        <f t="shared" si="1"/>
        <v>6790.59</v>
      </c>
    </row>
    <row r="313" ht="22.5" customHeight="1">
      <c r="A313" s="26"/>
      <c r="B313" s="27"/>
      <c r="C313" s="28"/>
      <c r="D313" s="15"/>
      <c r="E313" s="15">
        <f t="shared" si="1"/>
        <v>6790.59</v>
      </c>
    </row>
    <row r="314" ht="22.5" customHeight="1">
      <c r="A314" s="26"/>
      <c r="B314" s="27"/>
      <c r="C314" s="28"/>
      <c r="D314" s="15"/>
      <c r="E314" s="15">
        <f t="shared" si="1"/>
        <v>6790.59</v>
      </c>
    </row>
    <row r="315" ht="22.5" customHeight="1">
      <c r="A315" s="26"/>
      <c r="B315" s="27"/>
      <c r="C315" s="28"/>
      <c r="D315" s="15"/>
      <c r="E315" s="15">
        <f t="shared" si="1"/>
        <v>6790.59</v>
      </c>
    </row>
    <row r="316" ht="22.5" customHeight="1">
      <c r="A316" s="26"/>
      <c r="B316" s="27"/>
      <c r="C316" s="28"/>
      <c r="D316" s="15"/>
      <c r="E316" s="15">
        <f t="shared" si="1"/>
        <v>6790.59</v>
      </c>
    </row>
    <row r="317" ht="22.5" customHeight="1">
      <c r="A317" s="26"/>
      <c r="B317" s="27"/>
      <c r="C317" s="28"/>
      <c r="D317" s="15"/>
      <c r="E317" s="15">
        <f t="shared" si="1"/>
        <v>6790.59</v>
      </c>
    </row>
    <row r="318" ht="22.5" customHeight="1">
      <c r="A318" s="26"/>
      <c r="B318" s="27"/>
      <c r="C318" s="28"/>
      <c r="D318" s="15"/>
      <c r="E318" s="15">
        <f t="shared" si="1"/>
        <v>6790.59</v>
      </c>
    </row>
    <row r="319" ht="22.5" customHeight="1">
      <c r="A319" s="26"/>
      <c r="B319" s="27"/>
      <c r="C319" s="28"/>
      <c r="D319" s="15"/>
      <c r="E319" s="15">
        <f t="shared" si="1"/>
        <v>6790.59</v>
      </c>
    </row>
    <row r="320" ht="22.5" customHeight="1">
      <c r="A320" s="26"/>
      <c r="B320" s="27"/>
      <c r="C320" s="28"/>
      <c r="D320" s="15"/>
      <c r="E320" s="15">
        <f t="shared" si="1"/>
        <v>6790.59</v>
      </c>
    </row>
    <row r="321" ht="22.5" customHeight="1">
      <c r="A321" s="26"/>
      <c r="B321" s="27"/>
      <c r="C321" s="28"/>
      <c r="D321" s="15"/>
      <c r="E321" s="15">
        <f t="shared" si="1"/>
        <v>6790.59</v>
      </c>
    </row>
    <row r="322" ht="22.5" customHeight="1">
      <c r="A322" s="26"/>
      <c r="B322" s="27"/>
      <c r="C322" s="28"/>
      <c r="D322" s="15"/>
      <c r="E322" s="15">
        <f t="shared" si="1"/>
        <v>6790.59</v>
      </c>
    </row>
    <row r="323" ht="22.5" customHeight="1">
      <c r="A323" s="26"/>
      <c r="B323" s="27"/>
      <c r="C323" s="28"/>
      <c r="D323" s="15"/>
      <c r="E323" s="15">
        <f t="shared" si="1"/>
        <v>6790.59</v>
      </c>
    </row>
    <row r="324" ht="22.5" customHeight="1">
      <c r="A324" s="26"/>
      <c r="B324" s="27"/>
      <c r="C324" s="28"/>
      <c r="D324" s="15"/>
      <c r="E324" s="15">
        <f t="shared" si="1"/>
        <v>6790.59</v>
      </c>
    </row>
    <row r="325" ht="22.5" customHeight="1">
      <c r="A325" s="26"/>
      <c r="B325" s="27"/>
      <c r="C325" s="28"/>
      <c r="D325" s="15"/>
      <c r="E325" s="15">
        <f t="shared" si="1"/>
        <v>6790.59</v>
      </c>
    </row>
    <row r="326" ht="22.5" customHeight="1">
      <c r="A326" s="26"/>
      <c r="B326" s="27"/>
      <c r="C326" s="28"/>
      <c r="D326" s="15"/>
      <c r="E326" s="15">
        <f t="shared" si="1"/>
        <v>6790.59</v>
      </c>
    </row>
    <row r="327" ht="22.5" customHeight="1">
      <c r="A327" s="26"/>
      <c r="B327" s="27"/>
      <c r="C327" s="28"/>
      <c r="D327" s="15"/>
      <c r="E327" s="15">
        <f t="shared" si="1"/>
        <v>6790.59</v>
      </c>
    </row>
    <row r="328" ht="22.5" customHeight="1">
      <c r="A328" s="26"/>
      <c r="B328" s="27"/>
      <c r="C328" s="28"/>
      <c r="D328" s="15"/>
      <c r="E328" s="15">
        <f t="shared" si="1"/>
        <v>6790.59</v>
      </c>
    </row>
    <row r="329" ht="22.5" customHeight="1">
      <c r="A329" s="26"/>
      <c r="B329" s="27"/>
      <c r="C329" s="28"/>
      <c r="D329" s="15"/>
      <c r="E329" s="15">
        <f t="shared" si="1"/>
        <v>6790.59</v>
      </c>
    </row>
    <row r="330" ht="22.5" customHeight="1">
      <c r="A330" s="26"/>
      <c r="B330" s="27"/>
      <c r="C330" s="28"/>
      <c r="D330" s="15"/>
      <c r="E330" s="15">
        <f t="shared" si="1"/>
        <v>6790.59</v>
      </c>
    </row>
    <row r="331" ht="22.5" customHeight="1">
      <c r="A331" s="26"/>
      <c r="B331" s="27"/>
      <c r="C331" s="28"/>
      <c r="D331" s="15"/>
      <c r="E331" s="15">
        <f t="shared" si="1"/>
        <v>6790.59</v>
      </c>
    </row>
    <row r="332" ht="22.5" customHeight="1">
      <c r="A332" s="26"/>
      <c r="B332" s="27"/>
      <c r="C332" s="28"/>
      <c r="D332" s="15"/>
      <c r="E332" s="15">
        <f t="shared" si="1"/>
        <v>6790.59</v>
      </c>
    </row>
    <row r="333" ht="22.5" customHeight="1">
      <c r="A333" s="26"/>
      <c r="B333" s="27"/>
      <c r="C333" s="28"/>
      <c r="D333" s="15"/>
      <c r="E333" s="15">
        <f t="shared" si="1"/>
        <v>6790.59</v>
      </c>
    </row>
    <row r="334" ht="22.5" customHeight="1">
      <c r="A334" s="26"/>
      <c r="B334" s="27"/>
      <c r="C334" s="28"/>
      <c r="D334" s="15"/>
      <c r="E334" s="15">
        <f t="shared" si="1"/>
        <v>6790.59</v>
      </c>
    </row>
    <row r="335" ht="22.5" customHeight="1">
      <c r="A335" s="26"/>
      <c r="B335" s="27"/>
      <c r="C335" s="28"/>
      <c r="D335" s="15"/>
      <c r="E335" s="15">
        <f t="shared" si="1"/>
        <v>6790.59</v>
      </c>
    </row>
    <row r="336" ht="22.5" customHeight="1">
      <c r="A336" s="26"/>
      <c r="B336" s="27"/>
      <c r="C336" s="28"/>
      <c r="D336" s="15"/>
      <c r="E336" s="15">
        <f t="shared" si="1"/>
        <v>6790.59</v>
      </c>
    </row>
    <row r="337" ht="22.5" customHeight="1">
      <c r="A337" s="26"/>
      <c r="B337" s="27"/>
      <c r="C337" s="28"/>
      <c r="D337" s="15"/>
      <c r="E337" s="15">
        <f t="shared" si="1"/>
        <v>6790.59</v>
      </c>
    </row>
    <row r="338" ht="22.5" customHeight="1">
      <c r="A338" s="26"/>
      <c r="B338" s="27"/>
      <c r="C338" s="28"/>
      <c r="D338" s="15"/>
      <c r="E338" s="15">
        <f t="shared" si="1"/>
        <v>6790.59</v>
      </c>
    </row>
    <row r="339" ht="22.5" customHeight="1">
      <c r="A339" s="26"/>
      <c r="B339" s="27"/>
      <c r="C339" s="28"/>
      <c r="D339" s="15"/>
      <c r="E339" s="15">
        <f t="shared" si="1"/>
        <v>6790.59</v>
      </c>
    </row>
    <row r="340" ht="22.5" customHeight="1">
      <c r="A340" s="26"/>
      <c r="B340" s="27"/>
      <c r="C340" s="28"/>
      <c r="D340" s="15"/>
      <c r="E340" s="15">
        <f t="shared" si="1"/>
        <v>6790.59</v>
      </c>
    </row>
    <row r="341" ht="22.5" customHeight="1">
      <c r="A341" s="26"/>
      <c r="B341" s="27"/>
      <c r="C341" s="28"/>
      <c r="D341" s="15"/>
      <c r="E341" s="15">
        <f t="shared" si="1"/>
        <v>6790.59</v>
      </c>
    </row>
    <row r="342" ht="22.5" customHeight="1">
      <c r="A342" s="26"/>
      <c r="B342" s="27"/>
      <c r="C342" s="28"/>
      <c r="D342" s="15"/>
      <c r="E342" s="15">
        <f t="shared" si="1"/>
        <v>6790.59</v>
      </c>
    </row>
    <row r="343" ht="22.5" customHeight="1">
      <c r="A343" s="26"/>
      <c r="B343" s="27"/>
      <c r="C343" s="28"/>
      <c r="D343" s="15"/>
      <c r="E343" s="15">
        <f t="shared" si="1"/>
        <v>6790.59</v>
      </c>
    </row>
    <row r="344" ht="22.5" customHeight="1">
      <c r="A344" s="26"/>
      <c r="B344" s="27"/>
      <c r="C344" s="28"/>
      <c r="D344" s="15"/>
      <c r="E344" s="15">
        <f t="shared" si="1"/>
        <v>6790.59</v>
      </c>
    </row>
    <row r="345" ht="22.5" customHeight="1">
      <c r="A345" s="26"/>
      <c r="B345" s="27"/>
      <c r="C345" s="28"/>
      <c r="D345" s="15"/>
      <c r="E345" s="15">
        <f t="shared" si="1"/>
        <v>6790.59</v>
      </c>
    </row>
    <row r="346" ht="22.5" customHeight="1">
      <c r="A346" s="26"/>
      <c r="B346" s="27"/>
      <c r="C346" s="28"/>
      <c r="D346" s="15"/>
      <c r="E346" s="15">
        <f t="shared" si="1"/>
        <v>6790.59</v>
      </c>
    </row>
    <row r="347" ht="22.5" customHeight="1">
      <c r="A347" s="26"/>
      <c r="B347" s="27"/>
      <c r="C347" s="28"/>
      <c r="D347" s="15"/>
      <c r="E347" s="15">
        <f t="shared" si="1"/>
        <v>6790.59</v>
      </c>
    </row>
    <row r="348" ht="22.5" customHeight="1">
      <c r="A348" s="26"/>
      <c r="B348" s="27"/>
      <c r="C348" s="28"/>
      <c r="D348" s="15"/>
      <c r="E348" s="15">
        <f t="shared" si="1"/>
        <v>6790.59</v>
      </c>
    </row>
    <row r="349" ht="22.5" customHeight="1">
      <c r="A349" s="26"/>
      <c r="B349" s="27"/>
      <c r="C349" s="28"/>
      <c r="D349" s="15"/>
      <c r="E349" s="15">
        <f t="shared" si="1"/>
        <v>6790.59</v>
      </c>
    </row>
    <row r="350" ht="22.5" customHeight="1">
      <c r="A350" s="26"/>
      <c r="B350" s="27"/>
      <c r="C350" s="28"/>
      <c r="D350" s="15"/>
      <c r="E350" s="15">
        <f t="shared" si="1"/>
        <v>6790.59</v>
      </c>
    </row>
    <row r="351" ht="22.5" customHeight="1">
      <c r="A351" s="26"/>
      <c r="B351" s="27"/>
      <c r="C351" s="28"/>
      <c r="D351" s="15"/>
      <c r="E351" s="15">
        <f t="shared" si="1"/>
        <v>6790.59</v>
      </c>
    </row>
    <row r="352" ht="22.5" customHeight="1">
      <c r="A352" s="26"/>
      <c r="B352" s="27"/>
      <c r="C352" s="28"/>
      <c r="D352" s="15"/>
      <c r="E352" s="15">
        <f t="shared" si="1"/>
        <v>6790.59</v>
      </c>
    </row>
    <row r="353" ht="22.5" customHeight="1">
      <c r="A353" s="26"/>
      <c r="B353" s="27"/>
      <c r="C353" s="28"/>
      <c r="D353" s="15"/>
      <c r="E353" s="15">
        <f t="shared" si="1"/>
        <v>6790.59</v>
      </c>
    </row>
    <row r="354" ht="22.5" customHeight="1">
      <c r="A354" s="26"/>
      <c r="B354" s="27"/>
      <c r="C354" s="28"/>
      <c r="D354" s="15"/>
      <c r="E354" s="15">
        <f t="shared" si="1"/>
        <v>6790.59</v>
      </c>
    </row>
    <row r="355" ht="22.5" customHeight="1">
      <c r="A355" s="26"/>
      <c r="B355" s="27"/>
      <c r="C355" s="28"/>
      <c r="D355" s="15"/>
      <c r="E355" s="15">
        <f t="shared" si="1"/>
        <v>6790.59</v>
      </c>
    </row>
    <row r="356" ht="22.5" customHeight="1">
      <c r="A356" s="26"/>
      <c r="B356" s="27"/>
      <c r="C356" s="28"/>
      <c r="D356" s="15"/>
      <c r="E356" s="15">
        <f t="shared" si="1"/>
        <v>6790.59</v>
      </c>
    </row>
    <row r="357" ht="22.5" customHeight="1">
      <c r="A357" s="26"/>
      <c r="B357" s="27"/>
      <c r="C357" s="28"/>
      <c r="D357" s="15"/>
      <c r="E357" s="15">
        <f t="shared" si="1"/>
        <v>6790.59</v>
      </c>
    </row>
    <row r="358" ht="22.5" customHeight="1">
      <c r="A358" s="26"/>
      <c r="B358" s="27"/>
      <c r="C358" s="28"/>
      <c r="D358" s="15"/>
      <c r="E358" s="15">
        <f t="shared" si="1"/>
        <v>6790.59</v>
      </c>
    </row>
    <row r="359" ht="22.5" customHeight="1">
      <c r="A359" s="26"/>
      <c r="B359" s="27"/>
      <c r="C359" s="28"/>
      <c r="D359" s="15"/>
      <c r="E359" s="15">
        <f t="shared" si="1"/>
        <v>6790.59</v>
      </c>
    </row>
    <row r="360" ht="22.5" customHeight="1">
      <c r="A360" s="26"/>
      <c r="B360" s="27"/>
      <c r="C360" s="28"/>
      <c r="D360" s="15"/>
      <c r="E360" s="15">
        <f t="shared" si="1"/>
        <v>6790.59</v>
      </c>
    </row>
    <row r="361" ht="22.5" customHeight="1">
      <c r="A361" s="26"/>
      <c r="B361" s="27"/>
      <c r="C361" s="28"/>
      <c r="D361" s="15"/>
      <c r="E361" s="15">
        <f t="shared" si="1"/>
        <v>6790.59</v>
      </c>
    </row>
    <row r="362" ht="22.5" customHeight="1">
      <c r="A362" s="26"/>
      <c r="B362" s="27"/>
      <c r="C362" s="28"/>
      <c r="D362" s="15"/>
      <c r="E362" s="15">
        <f t="shared" si="1"/>
        <v>6790.59</v>
      </c>
    </row>
    <row r="363" ht="22.5" customHeight="1">
      <c r="A363" s="26"/>
      <c r="B363" s="27"/>
      <c r="C363" s="28"/>
      <c r="D363" s="15"/>
      <c r="E363" s="15">
        <f t="shared" si="1"/>
        <v>6790.59</v>
      </c>
    </row>
    <row r="364" ht="22.5" customHeight="1">
      <c r="A364" s="26"/>
      <c r="B364" s="27"/>
      <c r="C364" s="28"/>
      <c r="D364" s="15"/>
      <c r="E364" s="15">
        <f t="shared" si="1"/>
        <v>6790.59</v>
      </c>
    </row>
    <row r="365" ht="22.5" customHeight="1">
      <c r="A365" s="26"/>
      <c r="B365" s="27"/>
      <c r="C365" s="28"/>
      <c r="D365" s="15"/>
      <c r="E365" s="15">
        <f t="shared" si="1"/>
        <v>6790.59</v>
      </c>
    </row>
    <row r="366" ht="22.5" customHeight="1">
      <c r="A366" s="26"/>
      <c r="B366" s="27"/>
      <c r="C366" s="28"/>
      <c r="D366" s="15"/>
      <c r="E366" s="15">
        <f t="shared" si="1"/>
        <v>6790.59</v>
      </c>
    </row>
    <row r="367" ht="22.5" customHeight="1">
      <c r="A367" s="26"/>
      <c r="B367" s="27"/>
      <c r="C367" s="28"/>
      <c r="D367" s="15"/>
      <c r="E367" s="15">
        <f t="shared" si="1"/>
        <v>6790.59</v>
      </c>
    </row>
    <row r="368" ht="22.5" customHeight="1">
      <c r="A368" s="26"/>
      <c r="B368" s="27"/>
      <c r="C368" s="28"/>
      <c r="D368" s="15"/>
      <c r="E368" s="15">
        <f t="shared" si="1"/>
        <v>6790.59</v>
      </c>
    </row>
    <row r="369" ht="22.5" customHeight="1">
      <c r="A369" s="26"/>
      <c r="B369" s="27"/>
      <c r="C369" s="28"/>
      <c r="D369" s="15"/>
      <c r="E369" s="15">
        <f t="shared" si="1"/>
        <v>6790.59</v>
      </c>
    </row>
    <row r="370" ht="22.5" customHeight="1">
      <c r="A370" s="26"/>
      <c r="B370" s="27"/>
      <c r="C370" s="28"/>
      <c r="D370" s="15"/>
      <c r="E370" s="15">
        <f t="shared" si="1"/>
        <v>6790.59</v>
      </c>
    </row>
    <row r="371" ht="22.5" customHeight="1">
      <c r="A371" s="26"/>
      <c r="B371" s="27"/>
      <c r="C371" s="28"/>
      <c r="D371" s="15"/>
      <c r="E371" s="15">
        <f t="shared" si="1"/>
        <v>6790.59</v>
      </c>
    </row>
    <row r="372" ht="22.5" customHeight="1">
      <c r="A372" s="26"/>
      <c r="B372" s="27"/>
      <c r="C372" s="28"/>
      <c r="D372" s="15"/>
      <c r="E372" s="15">
        <f t="shared" si="1"/>
        <v>6790.59</v>
      </c>
    </row>
    <row r="373" ht="22.5" customHeight="1">
      <c r="A373" s="26"/>
      <c r="B373" s="27"/>
      <c r="C373" s="28"/>
      <c r="D373" s="15"/>
      <c r="E373" s="15">
        <f t="shared" si="1"/>
        <v>6790.59</v>
      </c>
    </row>
    <row r="374" ht="22.5" customHeight="1">
      <c r="A374" s="26"/>
      <c r="B374" s="27"/>
      <c r="C374" s="28"/>
      <c r="D374" s="15"/>
      <c r="E374" s="15">
        <f t="shared" si="1"/>
        <v>6790.59</v>
      </c>
    </row>
    <row r="375" ht="22.5" customHeight="1">
      <c r="A375" s="26"/>
      <c r="B375" s="27"/>
      <c r="C375" s="28"/>
      <c r="D375" s="15"/>
      <c r="E375" s="15">
        <f t="shared" si="1"/>
        <v>6790.59</v>
      </c>
    </row>
    <row r="376" ht="22.5" customHeight="1">
      <c r="A376" s="26"/>
      <c r="B376" s="27"/>
      <c r="C376" s="28"/>
      <c r="D376" s="15"/>
      <c r="E376" s="15">
        <f t="shared" si="1"/>
        <v>6790.59</v>
      </c>
    </row>
    <row r="377" ht="22.5" customHeight="1">
      <c r="A377" s="26"/>
      <c r="B377" s="27"/>
      <c r="C377" s="28"/>
      <c r="D377" s="15"/>
      <c r="E377" s="15">
        <f t="shared" si="1"/>
        <v>6790.59</v>
      </c>
    </row>
    <row r="378" ht="22.5" customHeight="1">
      <c r="A378" s="26"/>
      <c r="B378" s="27"/>
      <c r="C378" s="28"/>
      <c r="D378" s="15"/>
      <c r="E378" s="15">
        <f t="shared" si="1"/>
        <v>6790.59</v>
      </c>
    </row>
    <row r="379" ht="22.5" customHeight="1">
      <c r="A379" s="26"/>
      <c r="B379" s="27"/>
      <c r="C379" s="28"/>
      <c r="D379" s="15"/>
      <c r="E379" s="15">
        <f t="shared" si="1"/>
        <v>6790.59</v>
      </c>
    </row>
    <row r="380" ht="22.5" customHeight="1">
      <c r="A380" s="26"/>
      <c r="B380" s="27"/>
      <c r="C380" s="28"/>
      <c r="D380" s="15"/>
      <c r="E380" s="15">
        <f t="shared" si="1"/>
        <v>6790.59</v>
      </c>
    </row>
    <row r="381" ht="22.5" customHeight="1">
      <c r="A381" s="26"/>
      <c r="B381" s="27"/>
      <c r="C381" s="28"/>
      <c r="D381" s="15"/>
      <c r="E381" s="15">
        <f t="shared" si="1"/>
        <v>6790.59</v>
      </c>
    </row>
    <row r="382" ht="22.5" customHeight="1">
      <c r="A382" s="26"/>
      <c r="B382" s="27"/>
      <c r="C382" s="28"/>
      <c r="D382" s="15"/>
      <c r="E382" s="15">
        <f t="shared" si="1"/>
        <v>6790.59</v>
      </c>
    </row>
    <row r="383" ht="22.5" customHeight="1">
      <c r="A383" s="26"/>
      <c r="B383" s="27"/>
      <c r="C383" s="28"/>
      <c r="D383" s="15"/>
      <c r="E383" s="15">
        <f t="shared" si="1"/>
        <v>6790.59</v>
      </c>
    </row>
    <row r="384" ht="22.5" customHeight="1">
      <c r="A384" s="26"/>
      <c r="B384" s="27"/>
      <c r="C384" s="28"/>
      <c r="D384" s="15"/>
      <c r="E384" s="15">
        <f t="shared" si="1"/>
        <v>6790.59</v>
      </c>
    </row>
    <row r="385" ht="22.5" customHeight="1">
      <c r="A385" s="26"/>
      <c r="B385" s="27"/>
      <c r="C385" s="28"/>
      <c r="D385" s="15"/>
      <c r="E385" s="15">
        <f t="shared" si="1"/>
        <v>6790.59</v>
      </c>
    </row>
    <row r="386" ht="22.5" customHeight="1">
      <c r="A386" s="26"/>
      <c r="B386" s="27"/>
      <c r="C386" s="28"/>
      <c r="D386" s="15"/>
      <c r="E386" s="15">
        <f t="shared" si="1"/>
        <v>6790.59</v>
      </c>
    </row>
    <row r="387" ht="22.5" customHeight="1">
      <c r="A387" s="26"/>
      <c r="B387" s="27"/>
      <c r="C387" s="28"/>
      <c r="D387" s="15"/>
      <c r="E387" s="15">
        <f t="shared" si="1"/>
        <v>6790.59</v>
      </c>
    </row>
    <row r="388" ht="22.5" customHeight="1">
      <c r="A388" s="26"/>
      <c r="B388" s="27"/>
      <c r="C388" s="28"/>
      <c r="D388" s="15"/>
      <c r="E388" s="15">
        <f t="shared" si="1"/>
        <v>6790.59</v>
      </c>
    </row>
    <row r="389" ht="22.5" customHeight="1">
      <c r="A389" s="26"/>
      <c r="B389" s="27"/>
      <c r="C389" s="28"/>
      <c r="D389" s="15"/>
      <c r="E389" s="15">
        <f t="shared" si="1"/>
        <v>6790.59</v>
      </c>
    </row>
    <row r="390" ht="22.5" customHeight="1">
      <c r="A390" s="26"/>
      <c r="B390" s="27"/>
      <c r="C390" s="28"/>
      <c r="D390" s="15"/>
      <c r="E390" s="15">
        <f t="shared" si="1"/>
        <v>6790.59</v>
      </c>
    </row>
    <row r="391" ht="22.5" customHeight="1">
      <c r="A391" s="26"/>
      <c r="B391" s="27"/>
      <c r="C391" s="28"/>
      <c r="D391" s="15"/>
      <c r="E391" s="15">
        <f t="shared" si="1"/>
        <v>6790.59</v>
      </c>
    </row>
    <row r="392" ht="22.5" customHeight="1">
      <c r="A392" s="26"/>
      <c r="B392" s="27"/>
      <c r="C392" s="28"/>
      <c r="D392" s="15"/>
      <c r="E392" s="15">
        <f t="shared" si="1"/>
        <v>6790.59</v>
      </c>
    </row>
    <row r="393" ht="22.5" customHeight="1">
      <c r="A393" s="26"/>
      <c r="B393" s="27"/>
      <c r="C393" s="28"/>
      <c r="D393" s="15"/>
      <c r="E393" s="15">
        <f t="shared" si="1"/>
        <v>6790.59</v>
      </c>
    </row>
    <row r="394" ht="22.5" customHeight="1">
      <c r="A394" s="26"/>
      <c r="B394" s="27"/>
      <c r="C394" s="28"/>
      <c r="D394" s="15"/>
      <c r="E394" s="15">
        <f t="shared" si="1"/>
        <v>6790.59</v>
      </c>
    </row>
    <row r="395" ht="22.5" customHeight="1">
      <c r="A395" s="26"/>
      <c r="B395" s="27"/>
      <c r="C395" s="28"/>
      <c r="D395" s="15"/>
      <c r="E395" s="15">
        <f t="shared" si="1"/>
        <v>6790.59</v>
      </c>
    </row>
    <row r="396" ht="22.5" customHeight="1">
      <c r="A396" s="26"/>
      <c r="B396" s="27"/>
      <c r="C396" s="28"/>
      <c r="D396" s="15"/>
      <c r="E396" s="15">
        <f t="shared" si="1"/>
        <v>6790.59</v>
      </c>
    </row>
    <row r="397" ht="22.5" customHeight="1">
      <c r="A397" s="26"/>
      <c r="B397" s="27"/>
      <c r="C397" s="28"/>
      <c r="D397" s="15"/>
      <c r="E397" s="15">
        <f t="shared" si="1"/>
        <v>6790.59</v>
      </c>
    </row>
    <row r="398" ht="22.5" customHeight="1">
      <c r="A398" s="26"/>
      <c r="B398" s="27"/>
      <c r="C398" s="28"/>
      <c r="D398" s="15"/>
      <c r="E398" s="15">
        <f t="shared" si="1"/>
        <v>6790.59</v>
      </c>
    </row>
    <row r="399" ht="22.5" customHeight="1">
      <c r="A399" s="26"/>
      <c r="B399" s="27"/>
      <c r="C399" s="28"/>
      <c r="D399" s="15"/>
      <c r="E399" s="15">
        <f t="shared" si="1"/>
        <v>6790.59</v>
      </c>
    </row>
    <row r="400" ht="22.5" customHeight="1">
      <c r="A400" s="26"/>
      <c r="B400" s="27"/>
      <c r="C400" s="28"/>
      <c r="D400" s="15"/>
      <c r="E400" s="15">
        <f t="shared" si="1"/>
        <v>6790.59</v>
      </c>
    </row>
    <row r="401" ht="22.5" customHeight="1">
      <c r="A401" s="26"/>
      <c r="B401" s="27"/>
      <c r="C401" s="28"/>
      <c r="D401" s="15"/>
      <c r="E401" s="15">
        <f t="shared" si="1"/>
        <v>6790.59</v>
      </c>
    </row>
    <row r="402" ht="22.5" customHeight="1">
      <c r="A402" s="26"/>
      <c r="B402" s="27"/>
      <c r="C402" s="28"/>
      <c r="D402" s="15"/>
      <c r="E402" s="15">
        <f t="shared" si="1"/>
        <v>6790.59</v>
      </c>
    </row>
    <row r="403" ht="22.5" customHeight="1">
      <c r="A403" s="26"/>
      <c r="B403" s="27"/>
      <c r="C403" s="28"/>
      <c r="D403" s="15"/>
      <c r="E403" s="15">
        <f t="shared" si="1"/>
        <v>6790.59</v>
      </c>
    </row>
    <row r="404" ht="22.5" customHeight="1">
      <c r="A404" s="26"/>
      <c r="B404" s="27"/>
      <c r="C404" s="28"/>
      <c r="D404" s="15"/>
      <c r="E404" s="15">
        <f t="shared" si="1"/>
        <v>6790.59</v>
      </c>
    </row>
    <row r="405" ht="22.5" customHeight="1">
      <c r="A405" s="26"/>
      <c r="B405" s="27"/>
      <c r="C405" s="28"/>
      <c r="D405" s="15"/>
      <c r="E405" s="15">
        <f t="shared" si="1"/>
        <v>6790.59</v>
      </c>
    </row>
    <row r="406" ht="22.5" customHeight="1">
      <c r="A406" s="26"/>
      <c r="B406" s="27"/>
      <c r="C406" s="28"/>
      <c r="D406" s="15"/>
      <c r="E406" s="15">
        <f t="shared" si="1"/>
        <v>6790.59</v>
      </c>
    </row>
    <row r="407" ht="22.5" customHeight="1">
      <c r="A407" s="26"/>
      <c r="B407" s="27"/>
      <c r="C407" s="28"/>
      <c r="D407" s="15"/>
      <c r="E407" s="15">
        <f t="shared" si="1"/>
        <v>6790.59</v>
      </c>
    </row>
    <row r="408" ht="22.5" customHeight="1">
      <c r="A408" s="26"/>
      <c r="B408" s="27"/>
      <c r="C408" s="28"/>
      <c r="D408" s="15"/>
      <c r="E408" s="15">
        <f t="shared" si="1"/>
        <v>6790.59</v>
      </c>
    </row>
    <row r="409" ht="22.5" customHeight="1">
      <c r="A409" s="26"/>
      <c r="B409" s="27"/>
      <c r="C409" s="28"/>
      <c r="D409" s="15"/>
      <c r="E409" s="15">
        <f t="shared" si="1"/>
        <v>6790.59</v>
      </c>
    </row>
    <row r="410" ht="22.5" customHeight="1">
      <c r="A410" s="26"/>
      <c r="B410" s="27"/>
      <c r="C410" s="28"/>
      <c r="D410" s="15"/>
      <c r="E410" s="15">
        <f t="shared" si="1"/>
        <v>6790.59</v>
      </c>
    </row>
    <row r="411" ht="22.5" customHeight="1">
      <c r="A411" s="26"/>
      <c r="B411" s="27"/>
      <c r="C411" s="28"/>
      <c r="D411" s="15"/>
      <c r="E411" s="15">
        <f t="shared" si="1"/>
        <v>6790.59</v>
      </c>
    </row>
    <row r="412" ht="22.5" customHeight="1">
      <c r="A412" s="26"/>
      <c r="B412" s="27"/>
      <c r="C412" s="28"/>
      <c r="D412" s="15"/>
      <c r="E412" s="15">
        <f t="shared" si="1"/>
        <v>6790.59</v>
      </c>
    </row>
    <row r="413" ht="22.5" customHeight="1">
      <c r="A413" s="26"/>
      <c r="B413" s="27"/>
      <c r="C413" s="28"/>
      <c r="D413" s="15"/>
      <c r="E413" s="15">
        <f t="shared" si="1"/>
        <v>6790.59</v>
      </c>
    </row>
    <row r="414" ht="22.5" customHeight="1">
      <c r="A414" s="26"/>
      <c r="B414" s="27"/>
      <c r="C414" s="28"/>
      <c r="D414" s="15"/>
      <c r="E414" s="15">
        <f t="shared" si="1"/>
        <v>6790.59</v>
      </c>
    </row>
    <row r="415" ht="22.5" customHeight="1">
      <c r="A415" s="26"/>
      <c r="B415" s="27"/>
      <c r="C415" s="28"/>
      <c r="D415" s="15"/>
      <c r="E415" s="15">
        <f t="shared" si="1"/>
        <v>6790.59</v>
      </c>
    </row>
    <row r="416" ht="22.5" customHeight="1">
      <c r="A416" s="26"/>
      <c r="B416" s="27"/>
      <c r="C416" s="28"/>
      <c r="D416" s="15"/>
      <c r="E416" s="15">
        <f t="shared" si="1"/>
        <v>6790.59</v>
      </c>
    </row>
    <row r="417" ht="22.5" customHeight="1">
      <c r="A417" s="26"/>
      <c r="B417" s="27"/>
      <c r="C417" s="28"/>
      <c r="D417" s="15"/>
      <c r="E417" s="15">
        <f t="shared" si="1"/>
        <v>6790.59</v>
      </c>
    </row>
    <row r="418" ht="22.5" customHeight="1">
      <c r="A418" s="26"/>
      <c r="B418" s="27"/>
      <c r="C418" s="28"/>
      <c r="D418" s="15"/>
      <c r="E418" s="15">
        <f t="shared" si="1"/>
        <v>6790.59</v>
      </c>
    </row>
    <row r="419" ht="22.5" customHeight="1">
      <c r="A419" s="26"/>
      <c r="B419" s="27"/>
      <c r="C419" s="28"/>
      <c r="D419" s="15"/>
      <c r="E419" s="15">
        <f t="shared" si="1"/>
        <v>6790.59</v>
      </c>
    </row>
    <row r="420" ht="22.5" customHeight="1">
      <c r="A420" s="26"/>
      <c r="B420" s="27"/>
      <c r="C420" s="28"/>
      <c r="D420" s="15"/>
      <c r="E420" s="15">
        <f t="shared" si="1"/>
        <v>6790.59</v>
      </c>
    </row>
    <row r="421" ht="22.5" customHeight="1">
      <c r="A421" s="26"/>
      <c r="B421" s="27"/>
      <c r="C421" s="28"/>
      <c r="D421" s="15"/>
      <c r="E421" s="15">
        <f t="shared" si="1"/>
        <v>6790.59</v>
      </c>
    </row>
    <row r="422" ht="22.5" customHeight="1">
      <c r="A422" s="26"/>
      <c r="B422" s="27"/>
      <c r="C422" s="28"/>
      <c r="D422" s="15"/>
      <c r="E422" s="15">
        <f t="shared" si="1"/>
        <v>6790.59</v>
      </c>
    </row>
    <row r="423" ht="22.5" customHeight="1">
      <c r="A423" s="26"/>
      <c r="B423" s="27"/>
      <c r="C423" s="28"/>
      <c r="D423" s="15"/>
      <c r="E423" s="15">
        <f t="shared" si="1"/>
        <v>6790.59</v>
      </c>
    </row>
    <row r="424" ht="22.5" customHeight="1">
      <c r="A424" s="26"/>
      <c r="B424" s="27"/>
      <c r="C424" s="28"/>
      <c r="D424" s="15"/>
      <c r="E424" s="15">
        <f t="shared" si="1"/>
        <v>6790.59</v>
      </c>
    </row>
    <row r="425" ht="22.5" customHeight="1">
      <c r="A425" s="26"/>
      <c r="B425" s="27"/>
      <c r="C425" s="28"/>
      <c r="D425" s="15"/>
      <c r="E425" s="15">
        <f t="shared" si="1"/>
        <v>6790.59</v>
      </c>
    </row>
    <row r="426" ht="22.5" customHeight="1">
      <c r="A426" s="26"/>
      <c r="B426" s="27"/>
      <c r="C426" s="28"/>
      <c r="D426" s="15"/>
      <c r="E426" s="15">
        <f t="shared" si="1"/>
        <v>6790.59</v>
      </c>
    </row>
    <row r="427" ht="22.5" customHeight="1">
      <c r="A427" s="26"/>
      <c r="B427" s="27"/>
      <c r="C427" s="28"/>
      <c r="D427" s="15"/>
      <c r="E427" s="15">
        <f t="shared" si="1"/>
        <v>6790.59</v>
      </c>
    </row>
    <row r="428" ht="22.5" customHeight="1">
      <c r="A428" s="26"/>
      <c r="B428" s="27"/>
      <c r="C428" s="28"/>
      <c r="D428" s="15"/>
      <c r="E428" s="15">
        <f t="shared" si="1"/>
        <v>6790.59</v>
      </c>
    </row>
    <row r="429" ht="22.5" customHeight="1">
      <c r="A429" s="26"/>
      <c r="B429" s="27"/>
      <c r="C429" s="28"/>
      <c r="D429" s="15"/>
      <c r="E429" s="15">
        <f t="shared" si="1"/>
        <v>6790.59</v>
      </c>
    </row>
    <row r="430" ht="22.5" customHeight="1">
      <c r="A430" s="26"/>
      <c r="B430" s="27"/>
      <c r="C430" s="28"/>
      <c r="D430" s="15"/>
      <c r="E430" s="15">
        <f t="shared" si="1"/>
        <v>6790.59</v>
      </c>
    </row>
    <row r="431" ht="22.5" customHeight="1">
      <c r="A431" s="26"/>
      <c r="B431" s="27"/>
      <c r="C431" s="28"/>
      <c r="D431" s="15"/>
      <c r="E431" s="15">
        <f t="shared" si="1"/>
        <v>6790.59</v>
      </c>
    </row>
    <row r="432" ht="22.5" customHeight="1">
      <c r="A432" s="26"/>
      <c r="B432" s="27"/>
      <c r="C432" s="28"/>
      <c r="D432" s="15"/>
      <c r="E432" s="15">
        <f t="shared" si="1"/>
        <v>6790.59</v>
      </c>
    </row>
    <row r="433" ht="22.5" customHeight="1">
      <c r="A433" s="26"/>
      <c r="B433" s="27"/>
      <c r="C433" s="28"/>
      <c r="D433" s="15"/>
      <c r="E433" s="15">
        <f t="shared" si="1"/>
        <v>6790.59</v>
      </c>
    </row>
    <row r="434" ht="22.5" customHeight="1">
      <c r="A434" s="26"/>
      <c r="B434" s="27"/>
      <c r="C434" s="28"/>
      <c r="D434" s="15"/>
      <c r="E434" s="15">
        <f t="shared" si="1"/>
        <v>6790.59</v>
      </c>
    </row>
    <row r="435" ht="22.5" customHeight="1">
      <c r="A435" s="26"/>
      <c r="B435" s="27"/>
      <c r="C435" s="28"/>
      <c r="D435" s="15"/>
      <c r="E435" s="15">
        <f t="shared" si="1"/>
        <v>6790.59</v>
      </c>
    </row>
    <row r="436" ht="22.5" customHeight="1">
      <c r="A436" s="26"/>
      <c r="B436" s="27"/>
      <c r="C436" s="28"/>
      <c r="D436" s="15"/>
      <c r="E436" s="15">
        <f t="shared" si="1"/>
        <v>6790.59</v>
      </c>
    </row>
    <row r="437" ht="22.5" customHeight="1">
      <c r="A437" s="26"/>
      <c r="B437" s="27"/>
      <c r="C437" s="28"/>
      <c r="D437" s="15"/>
      <c r="E437" s="15">
        <f t="shared" si="1"/>
        <v>6790.59</v>
      </c>
    </row>
    <row r="438" ht="22.5" customHeight="1">
      <c r="A438" s="26"/>
      <c r="B438" s="27"/>
      <c r="C438" s="28"/>
      <c r="D438" s="15"/>
      <c r="E438" s="15">
        <f t="shared" si="1"/>
        <v>6790.59</v>
      </c>
    </row>
    <row r="439" ht="22.5" customHeight="1">
      <c r="A439" s="26"/>
      <c r="B439" s="27"/>
      <c r="C439" s="28"/>
      <c r="D439" s="15"/>
      <c r="E439" s="15">
        <f t="shared" si="1"/>
        <v>6790.59</v>
      </c>
    </row>
    <row r="440" ht="22.5" customHeight="1">
      <c r="A440" s="26"/>
      <c r="B440" s="27"/>
      <c r="C440" s="28"/>
      <c r="D440" s="15"/>
      <c r="E440" s="15">
        <f t="shared" si="1"/>
        <v>6790.59</v>
      </c>
    </row>
    <row r="441" ht="22.5" customHeight="1">
      <c r="A441" s="26"/>
      <c r="B441" s="27"/>
      <c r="C441" s="28"/>
      <c r="D441" s="15"/>
      <c r="E441" s="15">
        <f t="shared" si="1"/>
        <v>6790.59</v>
      </c>
    </row>
    <row r="442" ht="22.5" customHeight="1">
      <c r="A442" s="26"/>
      <c r="B442" s="27"/>
      <c r="C442" s="28"/>
      <c r="D442" s="15"/>
      <c r="E442" s="15">
        <f t="shared" si="1"/>
        <v>6790.59</v>
      </c>
    </row>
    <row r="443" ht="22.5" customHeight="1">
      <c r="A443" s="26"/>
      <c r="B443" s="27"/>
      <c r="C443" s="28"/>
      <c r="D443" s="15"/>
      <c r="E443" s="15">
        <f t="shared" si="1"/>
        <v>6790.59</v>
      </c>
    </row>
    <row r="444" ht="22.5" customHeight="1">
      <c r="A444" s="26"/>
      <c r="B444" s="27"/>
      <c r="C444" s="28"/>
      <c r="D444" s="15"/>
      <c r="E444" s="15">
        <f t="shared" si="1"/>
        <v>6790.59</v>
      </c>
    </row>
    <row r="445" ht="22.5" customHeight="1">
      <c r="A445" s="26"/>
      <c r="B445" s="27"/>
      <c r="C445" s="28"/>
      <c r="D445" s="15"/>
      <c r="E445" s="15">
        <f t="shared" si="1"/>
        <v>6790.59</v>
      </c>
    </row>
    <row r="446" ht="22.5" customHeight="1">
      <c r="A446" s="26"/>
      <c r="B446" s="27"/>
      <c r="C446" s="28"/>
      <c r="D446" s="15"/>
      <c r="E446" s="15">
        <f t="shared" si="1"/>
        <v>6790.59</v>
      </c>
    </row>
    <row r="447" ht="22.5" customHeight="1">
      <c r="A447" s="26"/>
      <c r="B447" s="27"/>
      <c r="C447" s="28"/>
      <c r="D447" s="15"/>
      <c r="E447" s="15">
        <f t="shared" si="1"/>
        <v>6790.59</v>
      </c>
    </row>
    <row r="448" ht="22.5" customHeight="1">
      <c r="A448" s="26"/>
      <c r="B448" s="27"/>
      <c r="C448" s="28"/>
      <c r="D448" s="15"/>
      <c r="E448" s="15">
        <f t="shared" si="1"/>
        <v>6790.59</v>
      </c>
    </row>
    <row r="449" ht="22.5" customHeight="1">
      <c r="A449" s="26"/>
      <c r="B449" s="27"/>
      <c r="C449" s="28"/>
      <c r="D449" s="15"/>
      <c r="E449" s="15">
        <f t="shared" si="1"/>
        <v>6790.59</v>
      </c>
    </row>
    <row r="450" ht="22.5" customHeight="1">
      <c r="A450" s="26"/>
      <c r="B450" s="27"/>
      <c r="C450" s="28"/>
      <c r="D450" s="15"/>
      <c r="E450" s="15">
        <f t="shared" si="1"/>
        <v>6790.59</v>
      </c>
    </row>
    <row r="451" ht="22.5" customHeight="1">
      <c r="A451" s="26"/>
      <c r="B451" s="27"/>
      <c r="C451" s="28"/>
      <c r="D451" s="15"/>
      <c r="E451" s="15">
        <f t="shared" si="1"/>
        <v>6790.59</v>
      </c>
    </row>
    <row r="452" ht="22.5" customHeight="1">
      <c r="A452" s="26"/>
      <c r="B452" s="27"/>
      <c r="C452" s="28"/>
      <c r="D452" s="15"/>
      <c r="E452" s="15">
        <f t="shared" si="1"/>
        <v>6790.59</v>
      </c>
    </row>
    <row r="453" ht="22.5" customHeight="1">
      <c r="A453" s="26"/>
      <c r="B453" s="27"/>
      <c r="C453" s="28"/>
      <c r="D453" s="15"/>
      <c r="E453" s="15">
        <f t="shared" si="1"/>
        <v>6790.59</v>
      </c>
    </row>
    <row r="454" ht="22.5" customHeight="1">
      <c r="A454" s="26"/>
      <c r="B454" s="27"/>
      <c r="C454" s="28"/>
      <c r="D454" s="15"/>
      <c r="E454" s="15">
        <f t="shared" si="1"/>
        <v>6790.59</v>
      </c>
    </row>
    <row r="455" ht="22.5" customHeight="1">
      <c r="A455" s="26"/>
      <c r="B455" s="27"/>
      <c r="C455" s="28"/>
      <c r="D455" s="15"/>
      <c r="E455" s="15">
        <f t="shared" si="1"/>
        <v>6790.59</v>
      </c>
    </row>
    <row r="456" ht="22.5" customHeight="1">
      <c r="A456" s="26"/>
      <c r="B456" s="27"/>
      <c r="C456" s="28"/>
      <c r="D456" s="15"/>
      <c r="E456" s="15">
        <f t="shared" si="1"/>
        <v>6790.59</v>
      </c>
    </row>
    <row r="457" ht="22.5" customHeight="1">
      <c r="A457" s="26"/>
      <c r="B457" s="27"/>
      <c r="C457" s="28"/>
      <c r="D457" s="15"/>
      <c r="E457" s="15">
        <f t="shared" si="1"/>
        <v>6790.59</v>
      </c>
    </row>
    <row r="458" ht="22.5" customHeight="1">
      <c r="A458" s="26"/>
      <c r="B458" s="27"/>
      <c r="C458" s="28"/>
      <c r="D458" s="15"/>
      <c r="E458" s="15">
        <f t="shared" si="1"/>
        <v>6790.59</v>
      </c>
    </row>
    <row r="459" ht="22.5" customHeight="1">
      <c r="A459" s="26"/>
      <c r="B459" s="27"/>
      <c r="C459" s="28"/>
      <c r="D459" s="15"/>
      <c r="E459" s="15">
        <f t="shared" si="1"/>
        <v>6790.59</v>
      </c>
    </row>
    <row r="460" ht="22.5" customHeight="1">
      <c r="A460" s="26"/>
      <c r="B460" s="27"/>
      <c r="C460" s="28"/>
      <c r="D460" s="15"/>
      <c r="E460" s="15">
        <f t="shared" si="1"/>
        <v>6790.59</v>
      </c>
    </row>
    <row r="461" ht="22.5" customHeight="1">
      <c r="A461" s="26"/>
      <c r="B461" s="27"/>
      <c r="C461" s="28"/>
      <c r="D461" s="15"/>
      <c r="E461" s="15">
        <f t="shared" si="1"/>
        <v>6790.59</v>
      </c>
    </row>
    <row r="462" ht="22.5" customHeight="1">
      <c r="A462" s="26"/>
      <c r="B462" s="27"/>
      <c r="C462" s="28"/>
      <c r="D462" s="15"/>
      <c r="E462" s="15">
        <f t="shared" si="1"/>
        <v>6790.59</v>
      </c>
    </row>
    <row r="463" ht="22.5" customHeight="1">
      <c r="A463" s="26"/>
      <c r="B463" s="27"/>
      <c r="C463" s="28"/>
      <c r="D463" s="15"/>
      <c r="E463" s="15">
        <f t="shared" si="1"/>
        <v>6790.59</v>
      </c>
    </row>
    <row r="464" ht="22.5" customHeight="1">
      <c r="A464" s="26"/>
      <c r="B464" s="27"/>
      <c r="C464" s="28"/>
      <c r="D464" s="15"/>
      <c r="E464" s="15">
        <f t="shared" si="1"/>
        <v>6790.59</v>
      </c>
    </row>
    <row r="465" ht="22.5" customHeight="1">
      <c r="A465" s="26"/>
      <c r="B465" s="27"/>
      <c r="C465" s="28"/>
      <c r="D465" s="15"/>
      <c r="E465" s="15">
        <f t="shared" si="1"/>
        <v>6790.59</v>
      </c>
    </row>
    <row r="466" ht="22.5" customHeight="1">
      <c r="A466" s="26"/>
      <c r="B466" s="27"/>
      <c r="C466" s="28"/>
      <c r="D466" s="15"/>
      <c r="E466" s="15">
        <f t="shared" si="1"/>
        <v>6790.59</v>
      </c>
    </row>
    <row r="467" ht="22.5" customHeight="1">
      <c r="A467" s="26"/>
      <c r="B467" s="27"/>
      <c r="C467" s="28"/>
      <c r="D467" s="15"/>
      <c r="E467" s="15">
        <f t="shared" si="1"/>
        <v>6790.59</v>
      </c>
    </row>
    <row r="468" ht="22.5" customHeight="1">
      <c r="A468" s="26"/>
      <c r="B468" s="27"/>
      <c r="C468" s="28"/>
      <c r="D468" s="15"/>
      <c r="E468" s="15">
        <f t="shared" si="1"/>
        <v>6790.59</v>
      </c>
    </row>
    <row r="469" ht="22.5" customHeight="1">
      <c r="A469" s="26"/>
      <c r="B469" s="27"/>
      <c r="C469" s="28"/>
      <c r="D469" s="15"/>
      <c r="E469" s="15">
        <f t="shared" si="1"/>
        <v>6790.59</v>
      </c>
    </row>
    <row r="470" ht="22.5" customHeight="1">
      <c r="A470" s="26"/>
      <c r="B470" s="27"/>
      <c r="C470" s="28"/>
      <c r="D470" s="15"/>
      <c r="E470" s="15">
        <f t="shared" si="1"/>
        <v>6790.59</v>
      </c>
    </row>
    <row r="471" ht="22.5" customHeight="1">
      <c r="A471" s="26"/>
      <c r="B471" s="27"/>
      <c r="C471" s="28"/>
      <c r="D471" s="15"/>
      <c r="E471" s="15">
        <f t="shared" si="1"/>
        <v>6790.59</v>
      </c>
    </row>
    <row r="472" ht="22.5" customHeight="1">
      <c r="A472" s="26"/>
      <c r="B472" s="27"/>
      <c r="C472" s="28"/>
      <c r="D472" s="15"/>
      <c r="E472" s="15">
        <f t="shared" si="1"/>
        <v>6790.59</v>
      </c>
    </row>
    <row r="473" ht="22.5" customHeight="1">
      <c r="A473" s="26"/>
      <c r="B473" s="27"/>
      <c r="C473" s="28"/>
      <c r="D473" s="15"/>
      <c r="E473" s="15">
        <f t="shared" si="1"/>
        <v>6790.59</v>
      </c>
    </row>
    <row r="474" ht="22.5" customHeight="1">
      <c r="A474" s="26"/>
      <c r="B474" s="27"/>
      <c r="C474" s="28"/>
      <c r="D474" s="15"/>
      <c r="E474" s="15">
        <f t="shared" si="1"/>
        <v>6790.59</v>
      </c>
    </row>
    <row r="475" ht="22.5" customHeight="1">
      <c r="A475" s="26"/>
      <c r="B475" s="27"/>
      <c r="C475" s="28"/>
      <c r="D475" s="15"/>
      <c r="E475" s="15">
        <f t="shared" si="1"/>
        <v>6790.59</v>
      </c>
    </row>
    <row r="476" ht="22.5" customHeight="1">
      <c r="A476" s="26"/>
      <c r="B476" s="27"/>
      <c r="C476" s="28"/>
      <c r="D476" s="15"/>
      <c r="E476" s="15">
        <f t="shared" si="1"/>
        <v>6790.59</v>
      </c>
    </row>
    <row r="477" ht="22.5" customHeight="1">
      <c r="A477" s="26"/>
      <c r="B477" s="27"/>
      <c r="C477" s="28"/>
      <c r="D477" s="15"/>
      <c r="E477" s="15">
        <f t="shared" si="1"/>
        <v>6790.59</v>
      </c>
    </row>
    <row r="478" ht="22.5" customHeight="1">
      <c r="A478" s="26"/>
      <c r="B478" s="27"/>
      <c r="C478" s="28"/>
      <c r="D478" s="15"/>
      <c r="E478" s="15">
        <f t="shared" si="1"/>
        <v>6790.59</v>
      </c>
    </row>
    <row r="479" ht="22.5" customHeight="1">
      <c r="A479" s="26"/>
      <c r="B479" s="27"/>
      <c r="C479" s="28"/>
      <c r="D479" s="15"/>
      <c r="E479" s="15">
        <f t="shared" si="1"/>
        <v>6790.59</v>
      </c>
    </row>
    <row r="480" ht="22.5" customHeight="1">
      <c r="A480" s="26"/>
      <c r="B480" s="27"/>
      <c r="C480" s="28"/>
      <c r="D480" s="15"/>
      <c r="E480" s="15">
        <f t="shared" si="1"/>
        <v>6790.59</v>
      </c>
    </row>
    <row r="481" ht="22.5" customHeight="1">
      <c r="A481" s="26"/>
      <c r="B481" s="27"/>
      <c r="C481" s="28"/>
      <c r="D481" s="15"/>
      <c r="E481" s="15">
        <f t="shared" si="1"/>
        <v>6790.59</v>
      </c>
    </row>
    <row r="482" ht="22.5" customHeight="1">
      <c r="A482" s="26"/>
      <c r="B482" s="27"/>
      <c r="C482" s="28"/>
      <c r="D482" s="15"/>
      <c r="E482" s="15">
        <f t="shared" si="1"/>
        <v>6790.59</v>
      </c>
    </row>
    <row r="483" ht="22.5" customHeight="1">
      <c r="A483" s="26"/>
      <c r="B483" s="27"/>
      <c r="C483" s="28"/>
      <c r="D483" s="15"/>
      <c r="E483" s="15">
        <f t="shared" si="1"/>
        <v>6790.59</v>
      </c>
    </row>
    <row r="484" ht="22.5" customHeight="1">
      <c r="A484" s="26"/>
      <c r="B484" s="27"/>
      <c r="C484" s="28"/>
      <c r="D484" s="15"/>
      <c r="E484" s="15">
        <f t="shared" si="1"/>
        <v>6790.59</v>
      </c>
    </row>
    <row r="485" ht="22.5" customHeight="1">
      <c r="A485" s="26"/>
      <c r="B485" s="27"/>
      <c r="C485" s="28"/>
      <c r="D485" s="15"/>
      <c r="E485" s="15">
        <f t="shared" si="1"/>
        <v>6790.59</v>
      </c>
    </row>
    <row r="486" ht="22.5" customHeight="1">
      <c r="A486" s="26"/>
      <c r="B486" s="27"/>
      <c r="C486" s="28"/>
      <c r="D486" s="15"/>
      <c r="E486" s="15">
        <f t="shared" si="1"/>
        <v>6790.59</v>
      </c>
    </row>
    <row r="487" ht="22.5" customHeight="1">
      <c r="A487" s="26"/>
      <c r="B487" s="27"/>
      <c r="C487" s="28"/>
      <c r="D487" s="15"/>
      <c r="E487" s="15">
        <f t="shared" si="1"/>
        <v>6790.59</v>
      </c>
    </row>
    <row r="488" ht="22.5" customHeight="1">
      <c r="A488" s="26"/>
      <c r="B488" s="27"/>
      <c r="C488" s="28"/>
      <c r="D488" s="15"/>
      <c r="E488" s="15">
        <f t="shared" si="1"/>
        <v>6790.59</v>
      </c>
    </row>
    <row r="489" ht="22.5" customHeight="1">
      <c r="A489" s="26"/>
      <c r="B489" s="27"/>
      <c r="C489" s="28"/>
      <c r="D489" s="15"/>
      <c r="E489" s="15">
        <f t="shared" si="1"/>
        <v>6790.59</v>
      </c>
    </row>
    <row r="490" ht="22.5" customHeight="1">
      <c r="A490" s="26"/>
      <c r="B490" s="27"/>
      <c r="C490" s="28"/>
      <c r="D490" s="15"/>
      <c r="E490" s="15">
        <f t="shared" si="1"/>
        <v>6790.59</v>
      </c>
    </row>
    <row r="491" ht="22.5" customHeight="1">
      <c r="A491" s="26"/>
      <c r="B491" s="27"/>
      <c r="C491" s="28"/>
      <c r="D491" s="15"/>
      <c r="E491" s="15">
        <f t="shared" si="1"/>
        <v>6790.59</v>
      </c>
    </row>
    <row r="492" ht="22.5" customHeight="1">
      <c r="A492" s="26"/>
      <c r="B492" s="27"/>
      <c r="C492" s="28"/>
      <c r="D492" s="15"/>
      <c r="E492" s="15">
        <f t="shared" si="1"/>
        <v>6790.59</v>
      </c>
    </row>
    <row r="493" ht="22.5" customHeight="1">
      <c r="A493" s="26"/>
      <c r="B493" s="27"/>
      <c r="C493" s="28"/>
      <c r="D493" s="15"/>
      <c r="E493" s="15">
        <f t="shared" si="1"/>
        <v>6790.59</v>
      </c>
    </row>
    <row r="494" ht="22.5" customHeight="1">
      <c r="A494" s="26"/>
      <c r="B494" s="27"/>
      <c r="C494" s="28"/>
      <c r="D494" s="15"/>
      <c r="E494" s="15">
        <f t="shared" si="1"/>
        <v>6790.59</v>
      </c>
    </row>
    <row r="495" ht="22.5" customHeight="1">
      <c r="A495" s="26"/>
      <c r="B495" s="27"/>
      <c r="C495" s="28"/>
      <c r="D495" s="15"/>
      <c r="E495" s="15">
        <f t="shared" si="1"/>
        <v>6790.59</v>
      </c>
    </row>
    <row r="496" ht="22.5" customHeight="1">
      <c r="A496" s="26"/>
      <c r="B496" s="27"/>
      <c r="C496" s="28"/>
      <c r="D496" s="15"/>
      <c r="E496" s="15">
        <f t="shared" si="1"/>
        <v>6790.59</v>
      </c>
    </row>
    <row r="497" ht="22.5" customHeight="1">
      <c r="A497" s="26"/>
      <c r="B497" s="27"/>
      <c r="C497" s="28"/>
      <c r="D497" s="15"/>
      <c r="E497" s="15">
        <f t="shared" si="1"/>
        <v>6790.59</v>
      </c>
    </row>
    <row r="498" ht="22.5" customHeight="1">
      <c r="A498" s="26"/>
      <c r="B498" s="27"/>
      <c r="C498" s="28"/>
      <c r="D498" s="15"/>
      <c r="E498" s="15">
        <f t="shared" si="1"/>
        <v>6790.59</v>
      </c>
    </row>
    <row r="499" ht="22.5" customHeight="1">
      <c r="A499" s="26"/>
      <c r="B499" s="27"/>
      <c r="C499" s="28"/>
      <c r="D499" s="15"/>
      <c r="E499" s="15">
        <f t="shared" si="1"/>
        <v>6790.59</v>
      </c>
    </row>
    <row r="500" ht="22.5" customHeight="1">
      <c r="A500" s="26"/>
      <c r="B500" s="27"/>
      <c r="C500" s="28"/>
      <c r="D500" s="15"/>
      <c r="E500" s="15">
        <f t="shared" si="1"/>
        <v>6790.59</v>
      </c>
    </row>
    <row r="501" ht="22.5" customHeight="1">
      <c r="A501" s="26"/>
      <c r="B501" s="27"/>
      <c r="C501" s="28"/>
      <c r="D501" s="15"/>
      <c r="E501" s="15">
        <f t="shared" si="1"/>
        <v>6790.59</v>
      </c>
    </row>
    <row r="502" ht="22.5" customHeight="1">
      <c r="A502" s="26"/>
      <c r="B502" s="27"/>
      <c r="C502" s="28"/>
      <c r="D502" s="15"/>
      <c r="E502" s="15">
        <f t="shared" si="1"/>
        <v>6790.59</v>
      </c>
    </row>
    <row r="503" ht="22.5" customHeight="1">
      <c r="A503" s="26"/>
      <c r="B503" s="27"/>
      <c r="C503" s="28"/>
      <c r="D503" s="15"/>
      <c r="E503" s="15">
        <f t="shared" si="1"/>
        <v>6790.59</v>
      </c>
    </row>
    <row r="504" ht="22.5" customHeight="1">
      <c r="A504" s="26"/>
      <c r="B504" s="27"/>
      <c r="C504" s="28"/>
      <c r="D504" s="15"/>
      <c r="E504" s="15">
        <f t="shared" si="1"/>
        <v>6790.59</v>
      </c>
    </row>
    <row r="505" ht="22.5" customHeight="1">
      <c r="A505" s="26"/>
      <c r="B505" s="27"/>
      <c r="C505" s="28"/>
      <c r="D505" s="15"/>
      <c r="E505" s="15">
        <f t="shared" si="1"/>
        <v>6790.59</v>
      </c>
    </row>
    <row r="506" ht="22.5" customHeight="1">
      <c r="A506" s="26"/>
      <c r="B506" s="27"/>
      <c r="C506" s="28"/>
      <c r="D506" s="15"/>
      <c r="E506" s="15">
        <f t="shared" si="1"/>
        <v>6790.59</v>
      </c>
    </row>
    <row r="507" ht="22.5" customHeight="1">
      <c r="A507" s="26"/>
      <c r="B507" s="27"/>
      <c r="C507" s="28"/>
      <c r="D507" s="15"/>
      <c r="E507" s="15">
        <f t="shared" si="1"/>
        <v>6790.59</v>
      </c>
    </row>
    <row r="508" ht="22.5" customHeight="1">
      <c r="A508" s="26"/>
      <c r="B508" s="27"/>
      <c r="C508" s="28"/>
      <c r="D508" s="15"/>
      <c r="E508" s="15">
        <f t="shared" si="1"/>
        <v>6790.59</v>
      </c>
    </row>
    <row r="509" ht="22.5" customHeight="1">
      <c r="A509" s="26"/>
      <c r="B509" s="27"/>
      <c r="C509" s="28"/>
      <c r="D509" s="15"/>
      <c r="E509" s="15">
        <f t="shared" si="1"/>
        <v>6790.59</v>
      </c>
    </row>
    <row r="510" ht="22.5" customHeight="1">
      <c r="A510" s="26"/>
      <c r="B510" s="27"/>
      <c r="C510" s="28"/>
      <c r="D510" s="15"/>
      <c r="E510" s="15">
        <f t="shared" si="1"/>
        <v>6790.59</v>
      </c>
    </row>
    <row r="511" ht="22.5" customHeight="1">
      <c r="A511" s="26"/>
      <c r="B511" s="27"/>
      <c r="C511" s="28"/>
      <c r="D511" s="15"/>
      <c r="E511" s="15">
        <f t="shared" si="1"/>
        <v>6790.59</v>
      </c>
    </row>
    <row r="512" ht="22.5" customHeight="1">
      <c r="A512" s="26"/>
      <c r="B512" s="27"/>
      <c r="C512" s="28"/>
      <c r="D512" s="15"/>
      <c r="E512" s="15">
        <f t="shared" si="1"/>
        <v>6790.59</v>
      </c>
    </row>
    <row r="513" ht="22.5" customHeight="1">
      <c r="A513" s="26"/>
      <c r="B513" s="27"/>
      <c r="C513" s="28"/>
      <c r="D513" s="15"/>
      <c r="E513" s="15">
        <f t="shared" si="1"/>
        <v>6790.59</v>
      </c>
    </row>
    <row r="514" ht="22.5" customHeight="1">
      <c r="A514" s="26"/>
      <c r="B514" s="27"/>
      <c r="C514" s="28"/>
      <c r="D514" s="15"/>
      <c r="E514" s="15">
        <f t="shared" si="1"/>
        <v>6790.59</v>
      </c>
    </row>
    <row r="515" ht="22.5" customHeight="1">
      <c r="A515" s="26"/>
      <c r="B515" s="27"/>
      <c r="C515" s="28"/>
      <c r="D515" s="15"/>
      <c r="E515" s="15">
        <f t="shared" si="1"/>
        <v>6790.59</v>
      </c>
    </row>
    <row r="516" ht="22.5" customHeight="1">
      <c r="A516" s="26"/>
      <c r="B516" s="27"/>
      <c r="C516" s="28"/>
      <c r="D516" s="15"/>
      <c r="E516" s="15">
        <f t="shared" si="1"/>
        <v>6790.59</v>
      </c>
    </row>
    <row r="517" ht="22.5" customHeight="1">
      <c r="A517" s="26"/>
      <c r="B517" s="27"/>
      <c r="C517" s="28"/>
      <c r="D517" s="15"/>
      <c r="E517" s="15">
        <f t="shared" si="1"/>
        <v>6790.59</v>
      </c>
    </row>
    <row r="518" ht="22.5" customHeight="1">
      <c r="A518" s="26"/>
      <c r="B518" s="27"/>
      <c r="C518" s="28"/>
      <c r="D518" s="15"/>
      <c r="E518" s="15">
        <f t="shared" si="1"/>
        <v>6790.59</v>
      </c>
    </row>
    <row r="519" ht="22.5" customHeight="1">
      <c r="A519" s="26"/>
      <c r="B519" s="27"/>
      <c r="C519" s="28"/>
      <c r="D519" s="15"/>
      <c r="E519" s="15">
        <f t="shared" si="1"/>
        <v>6790.59</v>
      </c>
    </row>
    <row r="520" ht="22.5" customHeight="1">
      <c r="A520" s="26"/>
      <c r="B520" s="27"/>
      <c r="C520" s="28"/>
      <c r="D520" s="15"/>
      <c r="E520" s="15">
        <f t="shared" si="1"/>
        <v>6790.59</v>
      </c>
    </row>
    <row r="521" ht="22.5" customHeight="1">
      <c r="A521" s="26"/>
      <c r="B521" s="27"/>
      <c r="C521" s="28"/>
      <c r="D521" s="15"/>
      <c r="E521" s="15">
        <f t="shared" si="1"/>
        <v>6790.59</v>
      </c>
    </row>
    <row r="522" ht="22.5" customHeight="1">
      <c r="A522" s="26"/>
      <c r="B522" s="27"/>
      <c r="C522" s="28"/>
      <c r="D522" s="15"/>
      <c r="E522" s="15">
        <f t="shared" si="1"/>
        <v>6790.59</v>
      </c>
    </row>
    <row r="523" ht="22.5" customHeight="1">
      <c r="A523" s="26"/>
      <c r="B523" s="27"/>
      <c r="C523" s="28"/>
      <c r="D523" s="15"/>
      <c r="E523" s="15">
        <f t="shared" si="1"/>
        <v>6790.59</v>
      </c>
    </row>
    <row r="524" ht="22.5" customHeight="1">
      <c r="A524" s="26"/>
      <c r="B524" s="27"/>
      <c r="C524" s="28"/>
      <c r="D524" s="15"/>
      <c r="E524" s="15">
        <f t="shared" si="1"/>
        <v>6790.59</v>
      </c>
    </row>
    <row r="525" ht="22.5" customHeight="1">
      <c r="A525" s="26"/>
      <c r="B525" s="27"/>
      <c r="C525" s="28"/>
      <c r="D525" s="15"/>
      <c r="E525" s="15">
        <f t="shared" si="1"/>
        <v>6790.59</v>
      </c>
    </row>
    <row r="526" ht="22.5" customHeight="1">
      <c r="A526" s="26"/>
      <c r="B526" s="27"/>
      <c r="C526" s="28"/>
      <c r="D526" s="15"/>
      <c r="E526" s="15">
        <f t="shared" si="1"/>
        <v>6790.59</v>
      </c>
    </row>
    <row r="527" ht="22.5" customHeight="1">
      <c r="A527" s="26"/>
      <c r="B527" s="27"/>
      <c r="C527" s="28"/>
      <c r="D527" s="15"/>
      <c r="E527" s="15">
        <f t="shared" si="1"/>
        <v>6790.59</v>
      </c>
    </row>
    <row r="528" ht="22.5" customHeight="1">
      <c r="A528" s="26"/>
      <c r="B528" s="27"/>
      <c r="C528" s="28"/>
      <c r="D528" s="15"/>
      <c r="E528" s="15">
        <f t="shared" si="1"/>
        <v>6790.59</v>
      </c>
    </row>
    <row r="529" ht="22.5" customHeight="1">
      <c r="A529" s="26"/>
      <c r="B529" s="27"/>
      <c r="C529" s="28"/>
      <c r="D529" s="15"/>
      <c r="E529" s="15">
        <f t="shared" si="1"/>
        <v>6790.59</v>
      </c>
    </row>
    <row r="530" ht="22.5" customHeight="1">
      <c r="A530" s="26"/>
      <c r="B530" s="27"/>
      <c r="C530" s="28"/>
      <c r="D530" s="15"/>
      <c r="E530" s="15">
        <f t="shared" si="1"/>
        <v>6790.59</v>
      </c>
    </row>
    <row r="531" ht="22.5" customHeight="1">
      <c r="A531" s="26"/>
      <c r="B531" s="27"/>
      <c r="C531" s="28"/>
      <c r="D531" s="15"/>
      <c r="E531" s="15">
        <f t="shared" si="1"/>
        <v>6790.59</v>
      </c>
    </row>
    <row r="532" ht="22.5" customHeight="1">
      <c r="A532" s="26"/>
      <c r="B532" s="27"/>
      <c r="C532" s="28"/>
      <c r="D532" s="15"/>
      <c r="E532" s="15">
        <f t="shared" si="1"/>
        <v>6790.59</v>
      </c>
    </row>
    <row r="533" ht="22.5" customHeight="1">
      <c r="A533" s="26"/>
      <c r="B533" s="27"/>
      <c r="C533" s="28"/>
      <c r="D533" s="15"/>
      <c r="E533" s="15">
        <f t="shared" si="1"/>
        <v>6790.59</v>
      </c>
    </row>
    <row r="534" ht="22.5" customHeight="1">
      <c r="A534" s="26"/>
      <c r="B534" s="27"/>
      <c r="C534" s="28"/>
      <c r="D534" s="15"/>
      <c r="E534" s="15">
        <f t="shared" si="1"/>
        <v>6790.59</v>
      </c>
    </row>
    <row r="535" ht="22.5" customHeight="1">
      <c r="A535" s="26"/>
      <c r="B535" s="27"/>
      <c r="C535" s="28"/>
      <c r="D535" s="15"/>
      <c r="E535" s="15">
        <f t="shared" si="1"/>
        <v>6790.59</v>
      </c>
    </row>
    <row r="536" ht="22.5" customHeight="1">
      <c r="A536" s="26"/>
      <c r="B536" s="27"/>
      <c r="C536" s="28"/>
      <c r="D536" s="15"/>
      <c r="E536" s="15">
        <f t="shared" si="1"/>
        <v>6790.59</v>
      </c>
    </row>
    <row r="537" ht="22.5" customHeight="1">
      <c r="A537" s="26"/>
      <c r="B537" s="27"/>
      <c r="C537" s="28"/>
      <c r="D537" s="15"/>
      <c r="E537" s="15">
        <f t="shared" si="1"/>
        <v>6790.59</v>
      </c>
    </row>
    <row r="538" ht="22.5" customHeight="1">
      <c r="A538" s="26"/>
      <c r="B538" s="27"/>
      <c r="C538" s="28"/>
      <c r="D538" s="15"/>
      <c r="E538" s="15">
        <f t="shared" si="1"/>
        <v>6790.59</v>
      </c>
    </row>
    <row r="539" ht="22.5" customHeight="1">
      <c r="A539" s="26"/>
      <c r="B539" s="27"/>
      <c r="C539" s="28"/>
      <c r="D539" s="15"/>
      <c r="E539" s="15">
        <f t="shared" si="1"/>
        <v>6790.59</v>
      </c>
    </row>
    <row r="540" ht="22.5" customHeight="1">
      <c r="A540" s="26"/>
      <c r="B540" s="27"/>
      <c r="C540" s="28"/>
      <c r="D540" s="15"/>
      <c r="E540" s="15">
        <f t="shared" si="1"/>
        <v>6790.59</v>
      </c>
    </row>
    <row r="541" ht="22.5" customHeight="1">
      <c r="A541" s="26"/>
      <c r="B541" s="27"/>
      <c r="C541" s="28"/>
      <c r="D541" s="15"/>
      <c r="E541" s="15">
        <f t="shared" si="1"/>
        <v>6790.59</v>
      </c>
    </row>
    <row r="542" ht="22.5" customHeight="1">
      <c r="A542" s="26"/>
      <c r="B542" s="27"/>
      <c r="C542" s="28"/>
      <c r="D542" s="15"/>
      <c r="E542" s="15">
        <f t="shared" si="1"/>
        <v>6790.59</v>
      </c>
    </row>
    <row r="543" ht="22.5" customHeight="1">
      <c r="A543" s="26"/>
      <c r="B543" s="27"/>
      <c r="C543" s="28"/>
      <c r="D543" s="15"/>
      <c r="E543" s="15">
        <f t="shared" si="1"/>
        <v>6790.59</v>
      </c>
    </row>
    <row r="544" ht="22.5" customHeight="1">
      <c r="A544" s="26"/>
      <c r="B544" s="27"/>
      <c r="C544" s="28"/>
      <c r="D544" s="15"/>
      <c r="E544" s="15">
        <f t="shared" si="1"/>
        <v>6790.59</v>
      </c>
    </row>
    <row r="545" ht="22.5" customHeight="1">
      <c r="A545" s="26"/>
      <c r="B545" s="27"/>
      <c r="C545" s="28"/>
      <c r="D545" s="15"/>
      <c r="E545" s="15">
        <f t="shared" si="1"/>
        <v>6790.59</v>
      </c>
    </row>
    <row r="546" ht="22.5" customHeight="1">
      <c r="A546" s="26"/>
      <c r="B546" s="27"/>
      <c r="C546" s="28"/>
      <c r="D546" s="15"/>
      <c r="E546" s="15">
        <f t="shared" si="1"/>
        <v>6790.59</v>
      </c>
    </row>
    <row r="547" ht="22.5" customHeight="1">
      <c r="A547" s="26"/>
      <c r="B547" s="27"/>
      <c r="C547" s="28"/>
      <c r="D547" s="15"/>
      <c r="E547" s="15">
        <f t="shared" si="1"/>
        <v>6790.59</v>
      </c>
    </row>
    <row r="548" ht="22.5" customHeight="1">
      <c r="A548" s="26"/>
      <c r="B548" s="27"/>
      <c r="C548" s="28"/>
      <c r="D548" s="15"/>
      <c r="E548" s="15">
        <f t="shared" si="1"/>
        <v>6790.59</v>
      </c>
    </row>
    <row r="549" ht="22.5" customHeight="1">
      <c r="A549" s="26"/>
      <c r="B549" s="27"/>
      <c r="C549" s="28"/>
      <c r="D549" s="15"/>
      <c r="E549" s="15">
        <f t="shared" si="1"/>
        <v>6790.59</v>
      </c>
    </row>
    <row r="550" ht="22.5" customHeight="1">
      <c r="A550" s="26"/>
      <c r="B550" s="27"/>
      <c r="C550" s="28"/>
      <c r="D550" s="15"/>
      <c r="E550" s="15">
        <f t="shared" si="1"/>
        <v>6790.59</v>
      </c>
    </row>
    <row r="551" ht="22.5" customHeight="1">
      <c r="A551" s="26"/>
      <c r="B551" s="27"/>
      <c r="C551" s="28"/>
      <c r="D551" s="15"/>
      <c r="E551" s="15">
        <f t="shared" si="1"/>
        <v>6790.59</v>
      </c>
    </row>
    <row r="552" ht="22.5" customHeight="1">
      <c r="A552" s="26"/>
      <c r="B552" s="27"/>
      <c r="C552" s="28"/>
      <c r="D552" s="15"/>
      <c r="E552" s="15">
        <f t="shared" si="1"/>
        <v>6790.59</v>
      </c>
    </row>
    <row r="553" ht="22.5" customHeight="1">
      <c r="A553" s="26"/>
      <c r="B553" s="27"/>
      <c r="C553" s="28"/>
      <c r="D553" s="15"/>
      <c r="E553" s="15">
        <f t="shared" si="1"/>
        <v>6790.59</v>
      </c>
    </row>
    <row r="554" ht="22.5" customHeight="1">
      <c r="A554" s="26"/>
      <c r="B554" s="27"/>
      <c r="C554" s="28"/>
      <c r="D554" s="15"/>
      <c r="E554" s="15">
        <f t="shared" si="1"/>
        <v>6790.59</v>
      </c>
    </row>
    <row r="555" ht="22.5" customHeight="1">
      <c r="A555" s="26"/>
      <c r="B555" s="27"/>
      <c r="C555" s="28"/>
      <c r="D555" s="15"/>
      <c r="E555" s="15">
        <f t="shared" si="1"/>
        <v>6790.59</v>
      </c>
    </row>
    <row r="556" ht="22.5" customHeight="1">
      <c r="A556" s="26"/>
      <c r="B556" s="27"/>
      <c r="C556" s="28"/>
      <c r="D556" s="15"/>
      <c r="E556" s="15">
        <f t="shared" si="1"/>
        <v>6790.59</v>
      </c>
    </row>
    <row r="557" ht="22.5" customHeight="1">
      <c r="A557" s="26"/>
      <c r="B557" s="27"/>
      <c r="C557" s="28"/>
      <c r="D557" s="15"/>
      <c r="E557" s="15">
        <f t="shared" si="1"/>
        <v>6790.59</v>
      </c>
    </row>
    <row r="558" ht="22.5" customHeight="1">
      <c r="A558" s="26"/>
      <c r="B558" s="27"/>
      <c r="C558" s="28"/>
      <c r="D558" s="15"/>
      <c r="E558" s="15">
        <f t="shared" si="1"/>
        <v>6790.59</v>
      </c>
    </row>
    <row r="559" ht="22.5" customHeight="1">
      <c r="A559" s="26"/>
      <c r="B559" s="27"/>
      <c r="C559" s="28"/>
      <c r="D559" s="15"/>
      <c r="E559" s="15">
        <f t="shared" si="1"/>
        <v>6790.59</v>
      </c>
    </row>
    <row r="560" ht="22.5" customHeight="1">
      <c r="A560" s="26"/>
      <c r="B560" s="27"/>
      <c r="C560" s="28"/>
      <c r="D560" s="15"/>
      <c r="E560" s="15">
        <f t="shared" si="1"/>
        <v>6790.59</v>
      </c>
    </row>
    <row r="561" ht="22.5" customHeight="1">
      <c r="A561" s="26"/>
      <c r="B561" s="27"/>
      <c r="C561" s="28"/>
      <c r="D561" s="15"/>
      <c r="E561" s="15">
        <f t="shared" si="1"/>
        <v>6790.59</v>
      </c>
    </row>
    <row r="562" ht="22.5" customHeight="1">
      <c r="A562" s="26"/>
      <c r="B562" s="27"/>
      <c r="C562" s="28"/>
      <c r="D562" s="15"/>
      <c r="E562" s="15">
        <f t="shared" si="1"/>
        <v>6790.59</v>
      </c>
    </row>
  </sheetData>
  <dataValidations>
    <dataValidation type="custom" allowBlank="1" showDropDown="1" sqref="A3:A562">
      <formula1>OR(NOT(ISERROR(DATEVALUE(A3))), AND(ISNUMBER(A3), LEFT(CELL("format", A3))="D"))</formula1>
    </dataValidation>
    <dataValidation type="custom" allowBlank="1" showDropDown="1" sqref="D3:E562">
      <formula1>AND(ISNUMBER(D3),(NOT(OR(NOT(ISERROR(DATEVALUE(D3))), AND(ISNUMBER(D3), LEFT(CELL("format", D3))="D")))))</formula1>
    </dataValidation>
    <dataValidation allowBlank="1" showDropDown="1" sqref="C3:C56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17.25"/>
    <col customWidth="1" min="4" max="4" width="14.63"/>
    <col customWidth="1" min="5" max="5" width="21.13"/>
  </cols>
  <sheetData>
    <row r="1" ht="22.5" customHeight="1">
      <c r="A1" s="29" t="s">
        <v>0</v>
      </c>
      <c r="B1" s="29" t="s">
        <v>2</v>
      </c>
      <c r="C1" s="29" t="s">
        <v>3</v>
      </c>
      <c r="D1" s="29" t="s">
        <v>247</v>
      </c>
      <c r="E1" s="29" t="s">
        <v>8</v>
      </c>
    </row>
    <row r="2" ht="22.5" customHeight="1">
      <c r="A2" s="26" t="str">
        <f>IFERROR(__xludf.DUMMYFUNCTION("FILTER(Transactions!A:A, Transactions!E:E=""First Earn CC"")"),"#N/A")</f>
        <v>#N/A</v>
      </c>
      <c r="B2" s="9" t="str">
        <f>IFERROR(__xludf.DUMMYFUNCTION("FILTER(Transactions!C:C, Transactions!E:E=""First Earn CC"")"),"#N/A")</f>
        <v>#N/A</v>
      </c>
      <c r="C2" s="28" t="str">
        <f>IFERROR(__xludf.DUMMYFUNCTION("FILTER(Transactions!D:D, Transactions!E:E=""First Earn CC"")"),"#N/A")</f>
        <v>#N/A</v>
      </c>
      <c r="D2" s="15" t="str">
        <f>IFERROR(__xludf.DUMMYFUNCTION("FILTER(Transactions!H:H, Transactions!E:E=""First Earn CC"")"),"#N/A")</f>
        <v>#N/A</v>
      </c>
      <c r="E2" s="15" t="str">
        <f t="shared" ref="E2:E553" si="1">SUM($D2:D$3)</f>
        <v>#N/A</v>
      </c>
    </row>
    <row r="3" ht="22.5" customHeight="1">
      <c r="A3" s="26"/>
      <c r="D3" s="15"/>
      <c r="E3" s="15">
        <f t="shared" si="1"/>
        <v>0</v>
      </c>
    </row>
    <row r="4" ht="22.5" customHeight="1">
      <c r="A4" s="26"/>
      <c r="D4" s="15"/>
      <c r="E4" s="15">
        <f t="shared" si="1"/>
        <v>0</v>
      </c>
    </row>
    <row r="5" ht="22.5" customHeight="1">
      <c r="A5" s="26"/>
      <c r="D5" s="15"/>
      <c r="E5" s="15">
        <f t="shared" si="1"/>
        <v>0</v>
      </c>
    </row>
    <row r="6" ht="22.5" customHeight="1">
      <c r="A6" s="26"/>
      <c r="D6" s="15"/>
      <c r="E6" s="15">
        <f t="shared" si="1"/>
        <v>0</v>
      </c>
    </row>
    <row r="7" ht="22.5" customHeight="1">
      <c r="A7" s="26"/>
      <c r="D7" s="15"/>
      <c r="E7" s="15">
        <f t="shared" si="1"/>
        <v>0</v>
      </c>
    </row>
    <row r="8" ht="22.5" customHeight="1">
      <c r="A8" s="26"/>
      <c r="D8" s="15"/>
      <c r="E8" s="15">
        <f t="shared" si="1"/>
        <v>0</v>
      </c>
    </row>
    <row r="9" ht="22.5" customHeight="1">
      <c r="A9" s="26"/>
      <c r="D9" s="15"/>
      <c r="E9" s="15">
        <f t="shared" si="1"/>
        <v>0</v>
      </c>
    </row>
    <row r="10" ht="22.5" customHeight="1">
      <c r="A10" s="26"/>
      <c r="D10" s="15"/>
      <c r="E10" s="15">
        <f t="shared" si="1"/>
        <v>0</v>
      </c>
    </row>
    <row r="11" ht="22.5" customHeight="1">
      <c r="A11" s="26"/>
      <c r="D11" s="15"/>
      <c r="E11" s="15">
        <f t="shared" si="1"/>
        <v>0</v>
      </c>
    </row>
    <row r="12" ht="22.5" customHeight="1">
      <c r="A12" s="30"/>
      <c r="B12" s="31"/>
      <c r="C12" s="31"/>
      <c r="D12" s="32"/>
      <c r="E12" s="15">
        <f t="shared" si="1"/>
        <v>0</v>
      </c>
    </row>
    <row r="13" ht="22.5" customHeight="1">
      <c r="A13" s="30"/>
      <c r="B13" s="31"/>
      <c r="C13" s="31"/>
      <c r="D13" s="32"/>
      <c r="E13" s="15">
        <f t="shared" si="1"/>
        <v>0</v>
      </c>
    </row>
    <row r="14" ht="22.5" customHeight="1">
      <c r="A14" s="30"/>
      <c r="B14" s="31"/>
      <c r="C14" s="31"/>
      <c r="D14" s="32"/>
      <c r="E14" s="15">
        <f t="shared" si="1"/>
        <v>0</v>
      </c>
    </row>
    <row r="15" ht="22.5" customHeight="1">
      <c r="A15" s="30"/>
      <c r="B15" s="31"/>
      <c r="C15" s="31"/>
      <c r="D15" s="32"/>
      <c r="E15" s="15">
        <f t="shared" si="1"/>
        <v>0</v>
      </c>
    </row>
    <row r="16" ht="22.5" customHeight="1">
      <c r="A16" s="30"/>
      <c r="B16" s="31"/>
      <c r="C16" s="31"/>
      <c r="D16" s="32"/>
      <c r="E16" s="15">
        <f t="shared" si="1"/>
        <v>0</v>
      </c>
    </row>
    <row r="17" ht="22.5" customHeight="1">
      <c r="A17" s="30"/>
      <c r="B17" s="31"/>
      <c r="C17" s="31"/>
      <c r="D17" s="32"/>
      <c r="E17" s="15">
        <f t="shared" si="1"/>
        <v>0</v>
      </c>
    </row>
    <row r="18" ht="22.5" customHeight="1">
      <c r="A18" s="30"/>
      <c r="B18" s="31"/>
      <c r="C18" s="31"/>
      <c r="D18" s="32"/>
      <c r="E18" s="15">
        <f t="shared" si="1"/>
        <v>0</v>
      </c>
    </row>
    <row r="19" ht="22.5" customHeight="1">
      <c r="A19" s="30"/>
      <c r="B19" s="31"/>
      <c r="C19" s="31"/>
      <c r="D19" s="32"/>
      <c r="E19" s="15">
        <f t="shared" si="1"/>
        <v>0</v>
      </c>
    </row>
    <row r="20" ht="22.5" customHeight="1">
      <c r="A20" s="30"/>
      <c r="B20" s="31"/>
      <c r="C20" s="31"/>
      <c r="D20" s="32"/>
      <c r="E20" s="15">
        <f t="shared" si="1"/>
        <v>0</v>
      </c>
    </row>
    <row r="21" ht="22.5" customHeight="1">
      <c r="A21" s="30"/>
      <c r="B21" s="31"/>
      <c r="C21" s="31"/>
      <c r="D21" s="32"/>
      <c r="E21" s="15">
        <f t="shared" si="1"/>
        <v>0</v>
      </c>
    </row>
    <row r="22" ht="22.5" customHeight="1">
      <c r="A22" s="30"/>
      <c r="B22" s="31"/>
      <c r="C22" s="31"/>
      <c r="D22" s="32"/>
      <c r="E22" s="15">
        <f t="shared" si="1"/>
        <v>0</v>
      </c>
    </row>
    <row r="23" ht="22.5" customHeight="1">
      <c r="A23" s="30"/>
      <c r="B23" s="31"/>
      <c r="C23" s="31"/>
      <c r="D23" s="32"/>
      <c r="E23" s="15">
        <f t="shared" si="1"/>
        <v>0</v>
      </c>
    </row>
    <row r="24" ht="22.5" customHeight="1">
      <c r="A24" s="30"/>
      <c r="B24" s="31"/>
      <c r="C24" s="31"/>
      <c r="D24" s="32"/>
      <c r="E24" s="15">
        <f t="shared" si="1"/>
        <v>0</v>
      </c>
    </row>
    <row r="25" ht="22.5" customHeight="1">
      <c r="A25" s="30"/>
      <c r="B25" s="31"/>
      <c r="C25" s="31"/>
      <c r="D25" s="32"/>
      <c r="E25" s="15">
        <f t="shared" si="1"/>
        <v>0</v>
      </c>
    </row>
    <row r="26" ht="22.5" customHeight="1">
      <c r="A26" s="30"/>
      <c r="B26" s="31"/>
      <c r="C26" s="31"/>
      <c r="D26" s="32"/>
      <c r="E26" s="15">
        <f t="shared" si="1"/>
        <v>0</v>
      </c>
    </row>
    <row r="27" ht="22.5" customHeight="1">
      <c r="A27" s="30"/>
      <c r="B27" s="31"/>
      <c r="C27" s="31"/>
      <c r="D27" s="32"/>
      <c r="E27" s="15">
        <f t="shared" si="1"/>
        <v>0</v>
      </c>
    </row>
    <row r="28" ht="22.5" customHeight="1">
      <c r="A28" s="30"/>
      <c r="B28" s="31"/>
      <c r="C28" s="31"/>
      <c r="D28" s="32"/>
      <c r="E28" s="15">
        <f t="shared" si="1"/>
        <v>0</v>
      </c>
    </row>
    <row r="29" ht="22.5" customHeight="1">
      <c r="A29" s="30"/>
      <c r="B29" s="31"/>
      <c r="C29" s="31"/>
      <c r="D29" s="32"/>
      <c r="E29" s="15">
        <f t="shared" si="1"/>
        <v>0</v>
      </c>
    </row>
    <row r="30" ht="22.5" customHeight="1">
      <c r="A30" s="30"/>
      <c r="B30" s="31"/>
      <c r="C30" s="31"/>
      <c r="D30" s="32"/>
      <c r="E30" s="15">
        <f t="shared" si="1"/>
        <v>0</v>
      </c>
    </row>
    <row r="31" ht="22.5" customHeight="1">
      <c r="A31" s="30"/>
      <c r="B31" s="31"/>
      <c r="C31" s="31"/>
      <c r="D31" s="32"/>
      <c r="E31" s="15">
        <f t="shared" si="1"/>
        <v>0</v>
      </c>
    </row>
    <row r="32" ht="22.5" customHeight="1">
      <c r="A32" s="30"/>
      <c r="B32" s="31"/>
      <c r="C32" s="31"/>
      <c r="D32" s="32"/>
      <c r="E32" s="15">
        <f t="shared" si="1"/>
        <v>0</v>
      </c>
    </row>
    <row r="33" ht="22.5" customHeight="1">
      <c r="A33" s="30"/>
      <c r="B33" s="31"/>
      <c r="C33" s="31"/>
      <c r="D33" s="32"/>
      <c r="E33" s="15">
        <f t="shared" si="1"/>
        <v>0</v>
      </c>
    </row>
    <row r="34" ht="22.5" customHeight="1">
      <c r="A34" s="30"/>
      <c r="B34" s="31"/>
      <c r="C34" s="31"/>
      <c r="D34" s="32"/>
      <c r="E34" s="15">
        <f t="shared" si="1"/>
        <v>0</v>
      </c>
    </row>
    <row r="35" ht="22.5" customHeight="1">
      <c r="A35" s="30"/>
      <c r="B35" s="31"/>
      <c r="C35" s="31"/>
      <c r="D35" s="32"/>
      <c r="E35" s="15">
        <f t="shared" si="1"/>
        <v>0</v>
      </c>
    </row>
    <row r="36" ht="22.5" customHeight="1">
      <c r="A36" s="30"/>
      <c r="B36" s="31"/>
      <c r="C36" s="31"/>
      <c r="D36" s="32"/>
      <c r="E36" s="15">
        <f t="shared" si="1"/>
        <v>0</v>
      </c>
    </row>
    <row r="37" ht="22.5" customHeight="1">
      <c r="A37" s="30"/>
      <c r="B37" s="31"/>
      <c r="C37" s="31"/>
      <c r="D37" s="32"/>
      <c r="E37" s="15">
        <f t="shared" si="1"/>
        <v>0</v>
      </c>
    </row>
    <row r="38" ht="22.5" customHeight="1">
      <c r="A38" s="30"/>
      <c r="B38" s="31"/>
      <c r="C38" s="31"/>
      <c r="D38" s="32"/>
      <c r="E38" s="15">
        <f t="shared" si="1"/>
        <v>0</v>
      </c>
    </row>
    <row r="39" ht="22.5" customHeight="1">
      <c r="A39" s="30"/>
      <c r="B39" s="31"/>
      <c r="C39" s="31"/>
      <c r="D39" s="32"/>
      <c r="E39" s="15">
        <f t="shared" si="1"/>
        <v>0</v>
      </c>
    </row>
    <row r="40" ht="22.5" customHeight="1">
      <c r="A40" s="30"/>
      <c r="B40" s="31"/>
      <c r="C40" s="31"/>
      <c r="D40" s="32"/>
      <c r="E40" s="15">
        <f t="shared" si="1"/>
        <v>0</v>
      </c>
    </row>
    <row r="41" ht="22.5" customHeight="1">
      <c r="A41" s="30"/>
      <c r="B41" s="31"/>
      <c r="C41" s="31"/>
      <c r="D41" s="32"/>
      <c r="E41" s="15">
        <f t="shared" si="1"/>
        <v>0</v>
      </c>
    </row>
    <row r="42" ht="22.5" customHeight="1">
      <c r="A42" s="30"/>
      <c r="B42" s="31"/>
      <c r="C42" s="31"/>
      <c r="D42" s="32"/>
      <c r="E42" s="15">
        <f t="shared" si="1"/>
        <v>0</v>
      </c>
    </row>
    <row r="43" ht="22.5" customHeight="1">
      <c r="A43" s="30"/>
      <c r="B43" s="31"/>
      <c r="C43" s="31"/>
      <c r="D43" s="32"/>
      <c r="E43" s="15">
        <f t="shared" si="1"/>
        <v>0</v>
      </c>
    </row>
    <row r="44" ht="22.5" customHeight="1">
      <c r="A44" s="30"/>
      <c r="B44" s="31"/>
      <c r="C44" s="31"/>
      <c r="D44" s="32"/>
      <c r="E44" s="15">
        <f t="shared" si="1"/>
        <v>0</v>
      </c>
    </row>
    <row r="45" ht="22.5" customHeight="1">
      <c r="A45" s="30"/>
      <c r="B45" s="31"/>
      <c r="C45" s="31"/>
      <c r="D45" s="32"/>
      <c r="E45" s="15">
        <f t="shared" si="1"/>
        <v>0</v>
      </c>
    </row>
    <row r="46" ht="22.5" customHeight="1">
      <c r="A46" s="30"/>
      <c r="B46" s="31"/>
      <c r="C46" s="31"/>
      <c r="D46" s="32"/>
      <c r="E46" s="15">
        <f t="shared" si="1"/>
        <v>0</v>
      </c>
    </row>
    <row r="47" ht="22.5" customHeight="1">
      <c r="A47" s="30"/>
      <c r="B47" s="31"/>
      <c r="C47" s="31"/>
      <c r="D47" s="32"/>
      <c r="E47" s="15">
        <f t="shared" si="1"/>
        <v>0</v>
      </c>
    </row>
    <row r="48" ht="22.5" customHeight="1">
      <c r="A48" s="30"/>
      <c r="B48" s="31"/>
      <c r="C48" s="31"/>
      <c r="D48" s="32"/>
      <c r="E48" s="15">
        <f t="shared" si="1"/>
        <v>0</v>
      </c>
    </row>
    <row r="49" ht="22.5" customHeight="1">
      <c r="A49" s="30"/>
      <c r="B49" s="31"/>
      <c r="C49" s="31"/>
      <c r="D49" s="32"/>
      <c r="E49" s="15">
        <f t="shared" si="1"/>
        <v>0</v>
      </c>
    </row>
    <row r="50" ht="22.5" customHeight="1">
      <c r="A50" s="30"/>
      <c r="B50" s="31"/>
      <c r="C50" s="31"/>
      <c r="D50" s="32"/>
      <c r="E50" s="15">
        <f t="shared" si="1"/>
        <v>0</v>
      </c>
    </row>
    <row r="51" ht="22.5" customHeight="1">
      <c r="A51" s="30"/>
      <c r="B51" s="31"/>
      <c r="C51" s="31"/>
      <c r="D51" s="32"/>
      <c r="E51" s="15">
        <f t="shared" si="1"/>
        <v>0</v>
      </c>
    </row>
    <row r="52" ht="22.5" customHeight="1">
      <c r="A52" s="30"/>
      <c r="B52" s="31"/>
      <c r="C52" s="31"/>
      <c r="D52" s="32"/>
      <c r="E52" s="15">
        <f t="shared" si="1"/>
        <v>0</v>
      </c>
    </row>
    <row r="53" ht="22.5" customHeight="1">
      <c r="A53" s="30"/>
      <c r="B53" s="31"/>
      <c r="C53" s="31"/>
      <c r="D53" s="32"/>
      <c r="E53" s="15">
        <f t="shared" si="1"/>
        <v>0</v>
      </c>
    </row>
    <row r="54" ht="22.5" customHeight="1">
      <c r="A54" s="30"/>
      <c r="B54" s="31"/>
      <c r="C54" s="31"/>
      <c r="D54" s="32"/>
      <c r="E54" s="15">
        <f t="shared" si="1"/>
        <v>0</v>
      </c>
    </row>
    <row r="55" ht="22.5" customHeight="1">
      <c r="A55" s="30"/>
      <c r="B55" s="31"/>
      <c r="C55" s="31"/>
      <c r="D55" s="32"/>
      <c r="E55" s="15">
        <f t="shared" si="1"/>
        <v>0</v>
      </c>
    </row>
    <row r="56" ht="22.5" customHeight="1">
      <c r="A56" s="30"/>
      <c r="B56" s="31"/>
      <c r="C56" s="31"/>
      <c r="D56" s="32"/>
      <c r="E56" s="15">
        <f t="shared" si="1"/>
        <v>0</v>
      </c>
    </row>
    <row r="57" ht="22.5" customHeight="1">
      <c r="A57" s="30"/>
      <c r="B57" s="31"/>
      <c r="C57" s="31"/>
      <c r="D57" s="32"/>
      <c r="E57" s="15">
        <f t="shared" si="1"/>
        <v>0</v>
      </c>
    </row>
    <row r="58" ht="22.5" customHeight="1">
      <c r="A58" s="30"/>
      <c r="B58" s="31"/>
      <c r="C58" s="31"/>
      <c r="D58" s="32"/>
      <c r="E58" s="15">
        <f t="shared" si="1"/>
        <v>0</v>
      </c>
    </row>
    <row r="59" ht="22.5" customHeight="1">
      <c r="A59" s="30"/>
      <c r="B59" s="31"/>
      <c r="C59" s="31"/>
      <c r="D59" s="32"/>
      <c r="E59" s="15">
        <f t="shared" si="1"/>
        <v>0</v>
      </c>
    </row>
    <row r="60" ht="22.5" customHeight="1">
      <c r="A60" s="30"/>
      <c r="B60" s="31"/>
      <c r="C60" s="31"/>
      <c r="D60" s="32"/>
      <c r="E60" s="15">
        <f t="shared" si="1"/>
        <v>0</v>
      </c>
    </row>
    <row r="61" ht="22.5" customHeight="1">
      <c r="A61" s="30"/>
      <c r="B61" s="31"/>
      <c r="C61" s="31"/>
      <c r="D61" s="32"/>
      <c r="E61" s="15">
        <f t="shared" si="1"/>
        <v>0</v>
      </c>
    </row>
    <row r="62" ht="22.5" customHeight="1">
      <c r="A62" s="30"/>
      <c r="B62" s="31"/>
      <c r="C62" s="31"/>
      <c r="D62" s="32"/>
      <c r="E62" s="15">
        <f t="shared" si="1"/>
        <v>0</v>
      </c>
    </row>
    <row r="63" ht="22.5" customHeight="1">
      <c r="A63" s="30"/>
      <c r="B63" s="31"/>
      <c r="C63" s="31"/>
      <c r="D63" s="32"/>
      <c r="E63" s="15">
        <f t="shared" si="1"/>
        <v>0</v>
      </c>
    </row>
    <row r="64" ht="22.5" customHeight="1">
      <c r="A64" s="30"/>
      <c r="B64" s="31"/>
      <c r="C64" s="31"/>
      <c r="D64" s="32"/>
      <c r="E64" s="15">
        <f t="shared" si="1"/>
        <v>0</v>
      </c>
    </row>
    <row r="65" ht="22.5" customHeight="1">
      <c r="A65" s="30"/>
      <c r="B65" s="31"/>
      <c r="C65" s="31"/>
      <c r="D65" s="32"/>
      <c r="E65" s="15">
        <f t="shared" si="1"/>
        <v>0</v>
      </c>
    </row>
    <row r="66" ht="22.5" customHeight="1">
      <c r="A66" s="30"/>
      <c r="B66" s="31"/>
      <c r="C66" s="31"/>
      <c r="D66" s="32"/>
      <c r="E66" s="15">
        <f t="shared" si="1"/>
        <v>0</v>
      </c>
    </row>
    <row r="67" ht="22.5" customHeight="1">
      <c r="A67" s="30"/>
      <c r="B67" s="31"/>
      <c r="C67" s="31"/>
      <c r="D67" s="32"/>
      <c r="E67" s="15">
        <f t="shared" si="1"/>
        <v>0</v>
      </c>
    </row>
    <row r="68" ht="22.5" customHeight="1">
      <c r="A68" s="30"/>
      <c r="B68" s="31"/>
      <c r="C68" s="31"/>
      <c r="D68" s="32"/>
      <c r="E68" s="15">
        <f t="shared" si="1"/>
        <v>0</v>
      </c>
    </row>
    <row r="69" ht="22.5" customHeight="1">
      <c r="A69" s="30"/>
      <c r="B69" s="31"/>
      <c r="C69" s="31"/>
      <c r="D69" s="32"/>
      <c r="E69" s="15">
        <f t="shared" si="1"/>
        <v>0</v>
      </c>
    </row>
    <row r="70" ht="22.5" customHeight="1">
      <c r="A70" s="30"/>
      <c r="B70" s="31"/>
      <c r="C70" s="31"/>
      <c r="D70" s="32"/>
      <c r="E70" s="15">
        <f t="shared" si="1"/>
        <v>0</v>
      </c>
    </row>
    <row r="71" ht="22.5" customHeight="1">
      <c r="A71" s="30"/>
      <c r="B71" s="31"/>
      <c r="C71" s="31"/>
      <c r="D71" s="32"/>
      <c r="E71" s="15">
        <f t="shared" si="1"/>
        <v>0</v>
      </c>
    </row>
    <row r="72" ht="22.5" customHeight="1">
      <c r="A72" s="30"/>
      <c r="B72" s="31"/>
      <c r="C72" s="31"/>
      <c r="D72" s="32"/>
      <c r="E72" s="15">
        <f t="shared" si="1"/>
        <v>0</v>
      </c>
    </row>
    <row r="73" ht="22.5" customHeight="1">
      <c r="A73" s="30"/>
      <c r="B73" s="31"/>
      <c r="C73" s="31"/>
      <c r="D73" s="32"/>
      <c r="E73" s="15">
        <f t="shared" si="1"/>
        <v>0</v>
      </c>
    </row>
    <row r="74" ht="22.5" customHeight="1">
      <c r="A74" s="30"/>
      <c r="B74" s="31"/>
      <c r="C74" s="31"/>
      <c r="D74" s="32"/>
      <c r="E74" s="15">
        <f t="shared" si="1"/>
        <v>0</v>
      </c>
    </row>
    <row r="75" ht="22.5" customHeight="1">
      <c r="A75" s="30"/>
      <c r="B75" s="31"/>
      <c r="C75" s="31"/>
      <c r="D75" s="32"/>
      <c r="E75" s="15">
        <f t="shared" si="1"/>
        <v>0</v>
      </c>
    </row>
    <row r="76" ht="22.5" customHeight="1">
      <c r="A76" s="30"/>
      <c r="B76" s="31"/>
      <c r="C76" s="31"/>
      <c r="D76" s="32"/>
      <c r="E76" s="15">
        <f t="shared" si="1"/>
        <v>0</v>
      </c>
    </row>
    <row r="77" ht="22.5" customHeight="1">
      <c r="A77" s="30"/>
      <c r="B77" s="31"/>
      <c r="C77" s="31"/>
      <c r="D77" s="32"/>
      <c r="E77" s="15">
        <f t="shared" si="1"/>
        <v>0</v>
      </c>
    </row>
    <row r="78" ht="22.5" customHeight="1">
      <c r="A78" s="30"/>
      <c r="B78" s="31"/>
      <c r="C78" s="31"/>
      <c r="D78" s="32"/>
      <c r="E78" s="15">
        <f t="shared" si="1"/>
        <v>0</v>
      </c>
    </row>
    <row r="79" ht="22.5" customHeight="1">
      <c r="A79" s="30"/>
      <c r="B79" s="31"/>
      <c r="C79" s="31"/>
      <c r="D79" s="32"/>
      <c r="E79" s="15">
        <f t="shared" si="1"/>
        <v>0</v>
      </c>
    </row>
    <row r="80" ht="22.5" customHeight="1">
      <c r="A80" s="30"/>
      <c r="B80" s="31"/>
      <c r="C80" s="31"/>
      <c r="D80" s="32"/>
      <c r="E80" s="15">
        <f t="shared" si="1"/>
        <v>0</v>
      </c>
    </row>
    <row r="81" ht="22.5" customHeight="1">
      <c r="A81" s="30"/>
      <c r="B81" s="31"/>
      <c r="C81" s="31"/>
      <c r="D81" s="32"/>
      <c r="E81" s="15">
        <f t="shared" si="1"/>
        <v>0</v>
      </c>
    </row>
    <row r="82" ht="22.5" customHeight="1">
      <c r="A82" s="30"/>
      <c r="B82" s="31"/>
      <c r="C82" s="31"/>
      <c r="D82" s="32"/>
      <c r="E82" s="15">
        <f t="shared" si="1"/>
        <v>0</v>
      </c>
    </row>
    <row r="83" ht="22.5" customHeight="1">
      <c r="A83" s="30"/>
      <c r="B83" s="31"/>
      <c r="C83" s="31"/>
      <c r="D83" s="32"/>
      <c r="E83" s="15">
        <f t="shared" si="1"/>
        <v>0</v>
      </c>
    </row>
    <row r="84" ht="22.5" customHeight="1">
      <c r="A84" s="30"/>
      <c r="B84" s="31"/>
      <c r="C84" s="31"/>
      <c r="D84" s="32"/>
      <c r="E84" s="15">
        <f t="shared" si="1"/>
        <v>0</v>
      </c>
    </row>
    <row r="85" ht="22.5" customHeight="1">
      <c r="A85" s="30"/>
      <c r="B85" s="31"/>
      <c r="C85" s="31"/>
      <c r="D85" s="32"/>
      <c r="E85" s="15">
        <f t="shared" si="1"/>
        <v>0</v>
      </c>
    </row>
    <row r="86" ht="22.5" customHeight="1">
      <c r="A86" s="30"/>
      <c r="B86" s="31"/>
      <c r="C86" s="31"/>
      <c r="D86" s="32"/>
      <c r="E86" s="15">
        <f t="shared" si="1"/>
        <v>0</v>
      </c>
    </row>
    <row r="87" ht="22.5" customHeight="1">
      <c r="A87" s="30"/>
      <c r="B87" s="31"/>
      <c r="C87" s="31"/>
      <c r="D87" s="32"/>
      <c r="E87" s="15">
        <f t="shared" si="1"/>
        <v>0</v>
      </c>
    </row>
    <row r="88" ht="22.5" customHeight="1">
      <c r="A88" s="30"/>
      <c r="B88" s="31"/>
      <c r="C88" s="31"/>
      <c r="D88" s="32"/>
      <c r="E88" s="15">
        <f t="shared" si="1"/>
        <v>0</v>
      </c>
    </row>
    <row r="89" ht="22.5" customHeight="1">
      <c r="A89" s="30"/>
      <c r="B89" s="31"/>
      <c r="C89" s="31"/>
      <c r="D89" s="32"/>
      <c r="E89" s="15">
        <f t="shared" si="1"/>
        <v>0</v>
      </c>
    </row>
    <row r="90" ht="22.5" customHeight="1">
      <c r="A90" s="30"/>
      <c r="B90" s="31"/>
      <c r="C90" s="31"/>
      <c r="D90" s="32"/>
      <c r="E90" s="15">
        <f t="shared" si="1"/>
        <v>0</v>
      </c>
    </row>
    <row r="91" ht="22.5" customHeight="1">
      <c r="A91" s="30"/>
      <c r="B91" s="31"/>
      <c r="C91" s="31"/>
      <c r="D91" s="32"/>
      <c r="E91" s="15">
        <f t="shared" si="1"/>
        <v>0</v>
      </c>
    </row>
    <row r="92" ht="22.5" customHeight="1">
      <c r="A92" s="30"/>
      <c r="B92" s="31"/>
      <c r="C92" s="31"/>
      <c r="D92" s="32"/>
      <c r="E92" s="15">
        <f t="shared" si="1"/>
        <v>0</v>
      </c>
    </row>
    <row r="93" ht="22.5" customHeight="1">
      <c r="A93" s="30"/>
      <c r="B93" s="31"/>
      <c r="C93" s="31"/>
      <c r="D93" s="32"/>
      <c r="E93" s="15">
        <f t="shared" si="1"/>
        <v>0</v>
      </c>
    </row>
    <row r="94" ht="22.5" customHeight="1">
      <c r="A94" s="30"/>
      <c r="B94" s="31"/>
      <c r="C94" s="31"/>
      <c r="D94" s="32"/>
      <c r="E94" s="15">
        <f t="shared" si="1"/>
        <v>0</v>
      </c>
    </row>
    <row r="95" ht="22.5" customHeight="1">
      <c r="A95" s="30"/>
      <c r="B95" s="31"/>
      <c r="C95" s="31"/>
      <c r="D95" s="32"/>
      <c r="E95" s="15">
        <f t="shared" si="1"/>
        <v>0</v>
      </c>
    </row>
    <row r="96" ht="22.5" customHeight="1">
      <c r="A96" s="30"/>
      <c r="B96" s="31"/>
      <c r="C96" s="31"/>
      <c r="D96" s="32"/>
      <c r="E96" s="15">
        <f t="shared" si="1"/>
        <v>0</v>
      </c>
    </row>
    <row r="97" ht="22.5" customHeight="1">
      <c r="A97" s="30"/>
      <c r="B97" s="31"/>
      <c r="C97" s="31"/>
      <c r="D97" s="32"/>
      <c r="E97" s="15">
        <f t="shared" si="1"/>
        <v>0</v>
      </c>
    </row>
    <row r="98" ht="22.5" customHeight="1">
      <c r="A98" s="30"/>
      <c r="B98" s="31"/>
      <c r="C98" s="31"/>
      <c r="D98" s="32"/>
      <c r="E98" s="15">
        <f t="shared" si="1"/>
        <v>0</v>
      </c>
    </row>
    <row r="99" ht="22.5" customHeight="1">
      <c r="A99" s="30"/>
      <c r="B99" s="31"/>
      <c r="C99" s="31"/>
      <c r="D99" s="32"/>
      <c r="E99" s="15">
        <f t="shared" si="1"/>
        <v>0</v>
      </c>
    </row>
    <row r="100" ht="22.5" customHeight="1">
      <c r="A100" s="30"/>
      <c r="B100" s="31"/>
      <c r="C100" s="31"/>
      <c r="D100" s="32"/>
      <c r="E100" s="15">
        <f t="shared" si="1"/>
        <v>0</v>
      </c>
    </row>
    <row r="101" ht="22.5" customHeight="1">
      <c r="A101" s="30"/>
      <c r="B101" s="31"/>
      <c r="C101" s="31"/>
      <c r="D101" s="32"/>
      <c r="E101" s="15">
        <f t="shared" si="1"/>
        <v>0</v>
      </c>
    </row>
    <row r="102" ht="22.5" customHeight="1">
      <c r="A102" s="30"/>
      <c r="B102" s="31"/>
      <c r="C102" s="31"/>
      <c r="D102" s="32"/>
      <c r="E102" s="15">
        <f t="shared" si="1"/>
        <v>0</v>
      </c>
    </row>
    <row r="103" ht="22.5" customHeight="1">
      <c r="A103" s="30"/>
      <c r="B103" s="31"/>
      <c r="C103" s="31"/>
      <c r="D103" s="32"/>
      <c r="E103" s="15">
        <f t="shared" si="1"/>
        <v>0</v>
      </c>
    </row>
    <row r="104" ht="22.5" customHeight="1">
      <c r="A104" s="30"/>
      <c r="B104" s="31"/>
      <c r="C104" s="31"/>
      <c r="D104" s="32"/>
      <c r="E104" s="15">
        <f t="shared" si="1"/>
        <v>0</v>
      </c>
    </row>
    <row r="105" ht="22.5" customHeight="1">
      <c r="A105" s="30"/>
      <c r="B105" s="31"/>
      <c r="C105" s="31"/>
      <c r="D105" s="32"/>
      <c r="E105" s="15">
        <f t="shared" si="1"/>
        <v>0</v>
      </c>
    </row>
    <row r="106" ht="22.5" customHeight="1">
      <c r="A106" s="30"/>
      <c r="B106" s="31"/>
      <c r="C106" s="31"/>
      <c r="D106" s="32"/>
      <c r="E106" s="15">
        <f t="shared" si="1"/>
        <v>0</v>
      </c>
    </row>
    <row r="107" ht="22.5" customHeight="1">
      <c r="A107" s="30"/>
      <c r="B107" s="31"/>
      <c r="C107" s="31"/>
      <c r="D107" s="32"/>
      <c r="E107" s="15">
        <f t="shared" si="1"/>
        <v>0</v>
      </c>
    </row>
    <row r="108" ht="22.5" customHeight="1">
      <c r="A108" s="30"/>
      <c r="B108" s="31"/>
      <c r="C108" s="31"/>
      <c r="D108" s="32"/>
      <c r="E108" s="15">
        <f t="shared" si="1"/>
        <v>0</v>
      </c>
    </row>
    <row r="109" ht="22.5" customHeight="1">
      <c r="A109" s="30"/>
      <c r="B109" s="31"/>
      <c r="C109" s="31"/>
      <c r="D109" s="32"/>
      <c r="E109" s="15">
        <f t="shared" si="1"/>
        <v>0</v>
      </c>
    </row>
    <row r="110" ht="22.5" customHeight="1">
      <c r="A110" s="30"/>
      <c r="B110" s="31"/>
      <c r="C110" s="31"/>
      <c r="D110" s="32"/>
      <c r="E110" s="15">
        <f t="shared" si="1"/>
        <v>0</v>
      </c>
    </row>
    <row r="111" ht="22.5" customHeight="1">
      <c r="A111" s="30"/>
      <c r="B111" s="31"/>
      <c r="C111" s="31"/>
      <c r="D111" s="32"/>
      <c r="E111" s="15">
        <f t="shared" si="1"/>
        <v>0</v>
      </c>
    </row>
    <row r="112" ht="22.5" customHeight="1">
      <c r="A112" s="30"/>
      <c r="B112" s="31"/>
      <c r="C112" s="31"/>
      <c r="D112" s="32"/>
      <c r="E112" s="15">
        <f t="shared" si="1"/>
        <v>0</v>
      </c>
    </row>
    <row r="113" ht="22.5" customHeight="1">
      <c r="A113" s="30"/>
      <c r="B113" s="31"/>
      <c r="C113" s="31"/>
      <c r="D113" s="32"/>
      <c r="E113" s="15">
        <f t="shared" si="1"/>
        <v>0</v>
      </c>
    </row>
    <row r="114" ht="22.5" customHeight="1">
      <c r="A114" s="30"/>
      <c r="B114" s="31"/>
      <c r="C114" s="31"/>
      <c r="D114" s="32"/>
      <c r="E114" s="15">
        <f t="shared" si="1"/>
        <v>0</v>
      </c>
    </row>
    <row r="115" ht="22.5" customHeight="1">
      <c r="A115" s="30"/>
      <c r="B115" s="31"/>
      <c r="C115" s="31"/>
      <c r="D115" s="32"/>
      <c r="E115" s="15">
        <f t="shared" si="1"/>
        <v>0</v>
      </c>
    </row>
    <row r="116" ht="22.5" customHeight="1">
      <c r="A116" s="30"/>
      <c r="B116" s="31"/>
      <c r="C116" s="31"/>
      <c r="D116" s="32"/>
      <c r="E116" s="15">
        <f t="shared" si="1"/>
        <v>0</v>
      </c>
    </row>
    <row r="117" ht="22.5" customHeight="1">
      <c r="A117" s="30"/>
      <c r="B117" s="31"/>
      <c r="C117" s="31"/>
      <c r="D117" s="32"/>
      <c r="E117" s="15">
        <f t="shared" si="1"/>
        <v>0</v>
      </c>
    </row>
    <row r="118" ht="22.5" customHeight="1">
      <c r="A118" s="30"/>
      <c r="B118" s="31"/>
      <c r="C118" s="31"/>
      <c r="D118" s="32"/>
      <c r="E118" s="15">
        <f t="shared" si="1"/>
        <v>0</v>
      </c>
    </row>
    <row r="119" ht="22.5" customHeight="1">
      <c r="A119" s="30"/>
      <c r="B119" s="31"/>
      <c r="C119" s="31"/>
      <c r="D119" s="32"/>
      <c r="E119" s="15">
        <f t="shared" si="1"/>
        <v>0</v>
      </c>
    </row>
    <row r="120" ht="22.5" customHeight="1">
      <c r="A120" s="30"/>
      <c r="B120" s="31"/>
      <c r="C120" s="31"/>
      <c r="D120" s="32"/>
      <c r="E120" s="15">
        <f t="shared" si="1"/>
        <v>0</v>
      </c>
    </row>
    <row r="121" ht="22.5" customHeight="1">
      <c r="A121" s="30"/>
      <c r="B121" s="31"/>
      <c r="C121" s="31"/>
      <c r="D121" s="32"/>
      <c r="E121" s="15">
        <f t="shared" si="1"/>
        <v>0</v>
      </c>
    </row>
    <row r="122" ht="22.5" customHeight="1">
      <c r="A122" s="30"/>
      <c r="B122" s="31"/>
      <c r="C122" s="31"/>
      <c r="D122" s="32"/>
      <c r="E122" s="15">
        <f t="shared" si="1"/>
        <v>0</v>
      </c>
    </row>
    <row r="123" ht="22.5" customHeight="1">
      <c r="A123" s="30"/>
      <c r="B123" s="31"/>
      <c r="C123" s="31"/>
      <c r="D123" s="32"/>
      <c r="E123" s="15">
        <f t="shared" si="1"/>
        <v>0</v>
      </c>
    </row>
    <row r="124" ht="22.5" customHeight="1">
      <c r="A124" s="30"/>
      <c r="B124" s="31"/>
      <c r="C124" s="31"/>
      <c r="D124" s="32"/>
      <c r="E124" s="15">
        <f t="shared" si="1"/>
        <v>0</v>
      </c>
    </row>
    <row r="125" ht="22.5" customHeight="1">
      <c r="A125" s="30"/>
      <c r="B125" s="31"/>
      <c r="C125" s="31"/>
      <c r="D125" s="32"/>
      <c r="E125" s="15">
        <f t="shared" si="1"/>
        <v>0</v>
      </c>
    </row>
    <row r="126" ht="22.5" customHeight="1">
      <c r="A126" s="30"/>
      <c r="B126" s="31"/>
      <c r="C126" s="31"/>
      <c r="D126" s="32"/>
      <c r="E126" s="15">
        <f t="shared" si="1"/>
        <v>0</v>
      </c>
    </row>
    <row r="127" ht="22.5" customHeight="1">
      <c r="A127" s="30"/>
      <c r="B127" s="31"/>
      <c r="C127" s="31"/>
      <c r="D127" s="32"/>
      <c r="E127" s="15">
        <f t="shared" si="1"/>
        <v>0</v>
      </c>
    </row>
    <row r="128" ht="22.5" customHeight="1">
      <c r="A128" s="30"/>
      <c r="B128" s="31"/>
      <c r="C128" s="31"/>
      <c r="D128" s="32"/>
      <c r="E128" s="15">
        <f t="shared" si="1"/>
        <v>0</v>
      </c>
    </row>
    <row r="129" ht="22.5" customHeight="1">
      <c r="A129" s="30"/>
      <c r="B129" s="31"/>
      <c r="C129" s="31"/>
      <c r="D129" s="32"/>
      <c r="E129" s="15">
        <f t="shared" si="1"/>
        <v>0</v>
      </c>
    </row>
    <row r="130" ht="22.5" customHeight="1">
      <c r="A130" s="30"/>
      <c r="B130" s="31"/>
      <c r="C130" s="31"/>
      <c r="D130" s="32"/>
      <c r="E130" s="15">
        <f t="shared" si="1"/>
        <v>0</v>
      </c>
    </row>
    <row r="131" ht="22.5" customHeight="1">
      <c r="A131" s="30"/>
      <c r="B131" s="31"/>
      <c r="C131" s="31"/>
      <c r="D131" s="32"/>
      <c r="E131" s="15">
        <f t="shared" si="1"/>
        <v>0</v>
      </c>
    </row>
    <row r="132" ht="22.5" customHeight="1">
      <c r="A132" s="30"/>
      <c r="B132" s="31"/>
      <c r="C132" s="31"/>
      <c r="D132" s="32"/>
      <c r="E132" s="15">
        <f t="shared" si="1"/>
        <v>0</v>
      </c>
    </row>
    <row r="133" ht="22.5" customHeight="1">
      <c r="A133" s="30"/>
      <c r="B133" s="31"/>
      <c r="C133" s="31"/>
      <c r="D133" s="32"/>
      <c r="E133" s="15">
        <f t="shared" si="1"/>
        <v>0</v>
      </c>
    </row>
    <row r="134" ht="22.5" customHeight="1">
      <c r="A134" s="30"/>
      <c r="B134" s="31"/>
      <c r="C134" s="31"/>
      <c r="D134" s="32"/>
      <c r="E134" s="15">
        <f t="shared" si="1"/>
        <v>0</v>
      </c>
    </row>
    <row r="135" ht="22.5" customHeight="1">
      <c r="A135" s="30"/>
      <c r="B135" s="31"/>
      <c r="C135" s="31"/>
      <c r="D135" s="32"/>
      <c r="E135" s="15">
        <f t="shared" si="1"/>
        <v>0</v>
      </c>
    </row>
    <row r="136" ht="22.5" customHeight="1">
      <c r="A136" s="30"/>
      <c r="B136" s="31"/>
      <c r="C136" s="31"/>
      <c r="D136" s="32"/>
      <c r="E136" s="15">
        <f t="shared" si="1"/>
        <v>0</v>
      </c>
    </row>
    <row r="137" ht="22.5" customHeight="1">
      <c r="A137" s="30"/>
      <c r="B137" s="31"/>
      <c r="C137" s="31"/>
      <c r="D137" s="32"/>
      <c r="E137" s="15">
        <f t="shared" si="1"/>
        <v>0</v>
      </c>
    </row>
    <row r="138" ht="22.5" customHeight="1">
      <c r="A138" s="30"/>
      <c r="B138" s="31"/>
      <c r="C138" s="31"/>
      <c r="D138" s="32"/>
      <c r="E138" s="15">
        <f t="shared" si="1"/>
        <v>0</v>
      </c>
    </row>
    <row r="139" ht="22.5" customHeight="1">
      <c r="A139" s="30"/>
      <c r="B139" s="31"/>
      <c r="C139" s="31"/>
      <c r="D139" s="32"/>
      <c r="E139" s="15">
        <f t="shared" si="1"/>
        <v>0</v>
      </c>
    </row>
    <row r="140" ht="22.5" customHeight="1">
      <c r="A140" s="30"/>
      <c r="B140" s="31"/>
      <c r="C140" s="31"/>
      <c r="D140" s="32"/>
      <c r="E140" s="15">
        <f t="shared" si="1"/>
        <v>0</v>
      </c>
    </row>
    <row r="141" ht="22.5" customHeight="1">
      <c r="A141" s="30"/>
      <c r="B141" s="31"/>
      <c r="C141" s="31"/>
      <c r="D141" s="32"/>
      <c r="E141" s="15">
        <f t="shared" si="1"/>
        <v>0</v>
      </c>
    </row>
    <row r="142" ht="22.5" customHeight="1">
      <c r="A142" s="30"/>
      <c r="B142" s="31"/>
      <c r="C142" s="31"/>
      <c r="D142" s="32"/>
      <c r="E142" s="15">
        <f t="shared" si="1"/>
        <v>0</v>
      </c>
    </row>
    <row r="143" ht="22.5" customHeight="1">
      <c r="A143" s="30"/>
      <c r="B143" s="31"/>
      <c r="C143" s="31"/>
      <c r="D143" s="32"/>
      <c r="E143" s="15">
        <f t="shared" si="1"/>
        <v>0</v>
      </c>
    </row>
    <row r="144" ht="22.5" customHeight="1">
      <c r="A144" s="30"/>
      <c r="B144" s="31"/>
      <c r="C144" s="31"/>
      <c r="D144" s="32"/>
      <c r="E144" s="15">
        <f t="shared" si="1"/>
        <v>0</v>
      </c>
    </row>
    <row r="145" ht="22.5" customHeight="1">
      <c r="A145" s="30"/>
      <c r="B145" s="31"/>
      <c r="C145" s="31"/>
      <c r="D145" s="32"/>
      <c r="E145" s="15">
        <f t="shared" si="1"/>
        <v>0</v>
      </c>
    </row>
    <row r="146" ht="22.5" customHeight="1">
      <c r="A146" s="30"/>
      <c r="B146" s="31"/>
      <c r="C146" s="31"/>
      <c r="D146" s="32"/>
      <c r="E146" s="15">
        <f t="shared" si="1"/>
        <v>0</v>
      </c>
    </row>
    <row r="147" ht="22.5" customHeight="1">
      <c r="A147" s="30"/>
      <c r="B147" s="31"/>
      <c r="C147" s="31"/>
      <c r="D147" s="32"/>
      <c r="E147" s="15">
        <f t="shared" si="1"/>
        <v>0</v>
      </c>
    </row>
    <row r="148" ht="22.5" customHeight="1">
      <c r="A148" s="30"/>
      <c r="B148" s="31"/>
      <c r="C148" s="31"/>
      <c r="D148" s="32"/>
      <c r="E148" s="15">
        <f t="shared" si="1"/>
        <v>0</v>
      </c>
    </row>
    <row r="149" ht="22.5" customHeight="1">
      <c r="A149" s="30"/>
      <c r="B149" s="31"/>
      <c r="C149" s="31"/>
      <c r="D149" s="32"/>
      <c r="E149" s="15">
        <f t="shared" si="1"/>
        <v>0</v>
      </c>
    </row>
    <row r="150" ht="22.5" customHeight="1">
      <c r="A150" s="30"/>
      <c r="B150" s="31"/>
      <c r="C150" s="31"/>
      <c r="D150" s="32"/>
      <c r="E150" s="15">
        <f t="shared" si="1"/>
        <v>0</v>
      </c>
    </row>
    <row r="151" ht="22.5" customHeight="1">
      <c r="A151" s="30"/>
      <c r="B151" s="31"/>
      <c r="C151" s="31"/>
      <c r="D151" s="32"/>
      <c r="E151" s="15">
        <f t="shared" si="1"/>
        <v>0</v>
      </c>
    </row>
    <row r="152" ht="22.5" customHeight="1">
      <c r="A152" s="30"/>
      <c r="B152" s="31"/>
      <c r="C152" s="31"/>
      <c r="D152" s="32"/>
      <c r="E152" s="15">
        <f t="shared" si="1"/>
        <v>0</v>
      </c>
    </row>
    <row r="153" ht="22.5" customHeight="1">
      <c r="A153" s="30"/>
      <c r="B153" s="31"/>
      <c r="C153" s="31"/>
      <c r="D153" s="32"/>
      <c r="E153" s="15">
        <f t="shared" si="1"/>
        <v>0</v>
      </c>
    </row>
    <row r="154" ht="22.5" customHeight="1">
      <c r="A154" s="30"/>
      <c r="B154" s="31"/>
      <c r="C154" s="31"/>
      <c r="D154" s="32"/>
      <c r="E154" s="15">
        <f t="shared" si="1"/>
        <v>0</v>
      </c>
    </row>
    <row r="155" ht="22.5" customHeight="1">
      <c r="A155" s="30"/>
      <c r="B155" s="31"/>
      <c r="C155" s="31"/>
      <c r="D155" s="32"/>
      <c r="E155" s="15">
        <f t="shared" si="1"/>
        <v>0</v>
      </c>
    </row>
    <row r="156" ht="22.5" customHeight="1">
      <c r="A156" s="30"/>
      <c r="B156" s="31"/>
      <c r="C156" s="31"/>
      <c r="D156" s="32"/>
      <c r="E156" s="15">
        <f t="shared" si="1"/>
        <v>0</v>
      </c>
    </row>
    <row r="157" ht="22.5" customHeight="1">
      <c r="A157" s="30"/>
      <c r="B157" s="31"/>
      <c r="C157" s="31"/>
      <c r="D157" s="32"/>
      <c r="E157" s="15">
        <f t="shared" si="1"/>
        <v>0</v>
      </c>
    </row>
    <row r="158" ht="22.5" customHeight="1">
      <c r="A158" s="30"/>
      <c r="B158" s="31"/>
      <c r="C158" s="31"/>
      <c r="D158" s="32"/>
      <c r="E158" s="15">
        <f t="shared" si="1"/>
        <v>0</v>
      </c>
    </row>
    <row r="159" ht="22.5" customHeight="1">
      <c r="A159" s="30"/>
      <c r="B159" s="31"/>
      <c r="C159" s="31"/>
      <c r="D159" s="32"/>
      <c r="E159" s="15">
        <f t="shared" si="1"/>
        <v>0</v>
      </c>
    </row>
    <row r="160" ht="22.5" customHeight="1">
      <c r="A160" s="30"/>
      <c r="B160" s="31"/>
      <c r="C160" s="31"/>
      <c r="D160" s="32"/>
      <c r="E160" s="15">
        <f t="shared" si="1"/>
        <v>0</v>
      </c>
    </row>
    <row r="161" ht="22.5" customHeight="1">
      <c r="A161" s="30"/>
      <c r="B161" s="31"/>
      <c r="C161" s="31"/>
      <c r="D161" s="32"/>
      <c r="E161" s="15">
        <f t="shared" si="1"/>
        <v>0</v>
      </c>
    </row>
    <row r="162" ht="22.5" customHeight="1">
      <c r="A162" s="30"/>
      <c r="B162" s="31"/>
      <c r="C162" s="31"/>
      <c r="D162" s="32"/>
      <c r="E162" s="15">
        <f t="shared" si="1"/>
        <v>0</v>
      </c>
    </row>
    <row r="163" ht="22.5" customHeight="1">
      <c r="A163" s="30"/>
      <c r="B163" s="31"/>
      <c r="C163" s="31"/>
      <c r="D163" s="32"/>
      <c r="E163" s="15">
        <f t="shared" si="1"/>
        <v>0</v>
      </c>
    </row>
    <row r="164" ht="22.5" customHeight="1">
      <c r="A164" s="30"/>
      <c r="B164" s="31"/>
      <c r="C164" s="31"/>
      <c r="D164" s="32"/>
      <c r="E164" s="15">
        <f t="shared" si="1"/>
        <v>0</v>
      </c>
    </row>
    <row r="165" ht="22.5" customHeight="1">
      <c r="A165" s="30"/>
      <c r="B165" s="31"/>
      <c r="C165" s="31"/>
      <c r="D165" s="32"/>
      <c r="E165" s="15">
        <f t="shared" si="1"/>
        <v>0</v>
      </c>
    </row>
    <row r="166" ht="22.5" customHeight="1">
      <c r="A166" s="30"/>
      <c r="B166" s="31"/>
      <c r="C166" s="31"/>
      <c r="D166" s="32"/>
      <c r="E166" s="15">
        <f t="shared" si="1"/>
        <v>0</v>
      </c>
    </row>
    <row r="167" ht="22.5" customHeight="1">
      <c r="A167" s="30"/>
      <c r="B167" s="31"/>
      <c r="C167" s="31"/>
      <c r="D167" s="32"/>
      <c r="E167" s="15">
        <f t="shared" si="1"/>
        <v>0</v>
      </c>
    </row>
    <row r="168" ht="22.5" customHeight="1">
      <c r="A168" s="30"/>
      <c r="B168" s="31"/>
      <c r="C168" s="31"/>
      <c r="D168" s="32"/>
      <c r="E168" s="15">
        <f t="shared" si="1"/>
        <v>0</v>
      </c>
    </row>
    <row r="169" ht="22.5" customHeight="1">
      <c r="A169" s="30"/>
      <c r="B169" s="31"/>
      <c r="C169" s="31"/>
      <c r="D169" s="32"/>
      <c r="E169" s="15">
        <f t="shared" si="1"/>
        <v>0</v>
      </c>
    </row>
    <row r="170" ht="22.5" customHeight="1">
      <c r="A170" s="30"/>
      <c r="B170" s="31"/>
      <c r="C170" s="31"/>
      <c r="D170" s="32"/>
      <c r="E170" s="15">
        <f t="shared" si="1"/>
        <v>0</v>
      </c>
    </row>
    <row r="171" ht="22.5" customHeight="1">
      <c r="A171" s="30"/>
      <c r="B171" s="31"/>
      <c r="C171" s="31"/>
      <c r="D171" s="32"/>
      <c r="E171" s="15">
        <f t="shared" si="1"/>
        <v>0</v>
      </c>
    </row>
    <row r="172" ht="22.5" customHeight="1">
      <c r="A172" s="30"/>
      <c r="B172" s="31"/>
      <c r="C172" s="31"/>
      <c r="D172" s="32"/>
      <c r="E172" s="15">
        <f t="shared" si="1"/>
        <v>0</v>
      </c>
    </row>
    <row r="173" ht="22.5" customHeight="1">
      <c r="A173" s="30"/>
      <c r="B173" s="31"/>
      <c r="C173" s="31"/>
      <c r="D173" s="32"/>
      <c r="E173" s="15">
        <f t="shared" si="1"/>
        <v>0</v>
      </c>
    </row>
    <row r="174" ht="22.5" customHeight="1">
      <c r="A174" s="30"/>
      <c r="B174" s="31"/>
      <c r="C174" s="31"/>
      <c r="D174" s="32"/>
      <c r="E174" s="15">
        <f t="shared" si="1"/>
        <v>0</v>
      </c>
    </row>
    <row r="175" ht="22.5" customHeight="1">
      <c r="A175" s="30"/>
      <c r="B175" s="31"/>
      <c r="C175" s="31"/>
      <c r="D175" s="32"/>
      <c r="E175" s="15">
        <f t="shared" si="1"/>
        <v>0</v>
      </c>
    </row>
    <row r="176" ht="22.5" customHeight="1">
      <c r="A176" s="30"/>
      <c r="B176" s="31"/>
      <c r="C176" s="31"/>
      <c r="D176" s="32"/>
      <c r="E176" s="15">
        <f t="shared" si="1"/>
        <v>0</v>
      </c>
    </row>
    <row r="177" ht="22.5" customHeight="1">
      <c r="A177" s="30"/>
      <c r="B177" s="31"/>
      <c r="C177" s="31"/>
      <c r="D177" s="32"/>
      <c r="E177" s="15">
        <f t="shared" si="1"/>
        <v>0</v>
      </c>
    </row>
    <row r="178" ht="22.5" customHeight="1">
      <c r="A178" s="30"/>
      <c r="B178" s="31"/>
      <c r="C178" s="31"/>
      <c r="D178" s="32"/>
      <c r="E178" s="15">
        <f t="shared" si="1"/>
        <v>0</v>
      </c>
    </row>
    <row r="179" ht="22.5" customHeight="1">
      <c r="A179" s="30"/>
      <c r="B179" s="31"/>
      <c r="C179" s="31"/>
      <c r="D179" s="32"/>
      <c r="E179" s="15">
        <f t="shared" si="1"/>
        <v>0</v>
      </c>
    </row>
    <row r="180" ht="22.5" customHeight="1">
      <c r="A180" s="30"/>
      <c r="B180" s="31"/>
      <c r="C180" s="31"/>
      <c r="D180" s="32"/>
      <c r="E180" s="15">
        <f t="shared" si="1"/>
        <v>0</v>
      </c>
    </row>
    <row r="181" ht="22.5" customHeight="1">
      <c r="A181" s="30"/>
      <c r="B181" s="31"/>
      <c r="C181" s="31"/>
      <c r="D181" s="32"/>
      <c r="E181" s="15">
        <f t="shared" si="1"/>
        <v>0</v>
      </c>
    </row>
    <row r="182" ht="22.5" customHeight="1">
      <c r="A182" s="30"/>
      <c r="B182" s="31"/>
      <c r="C182" s="31"/>
      <c r="D182" s="32"/>
      <c r="E182" s="15">
        <f t="shared" si="1"/>
        <v>0</v>
      </c>
    </row>
    <row r="183" ht="22.5" customHeight="1">
      <c r="A183" s="30"/>
      <c r="B183" s="31"/>
      <c r="C183" s="31"/>
      <c r="D183" s="32"/>
      <c r="E183" s="15">
        <f t="shared" si="1"/>
        <v>0</v>
      </c>
    </row>
    <row r="184" ht="22.5" customHeight="1">
      <c r="A184" s="30"/>
      <c r="B184" s="31"/>
      <c r="C184" s="31"/>
      <c r="D184" s="32"/>
      <c r="E184" s="15">
        <f t="shared" si="1"/>
        <v>0</v>
      </c>
    </row>
    <row r="185" ht="22.5" customHeight="1">
      <c r="A185" s="30"/>
      <c r="B185" s="31"/>
      <c r="C185" s="31"/>
      <c r="D185" s="32"/>
      <c r="E185" s="15">
        <f t="shared" si="1"/>
        <v>0</v>
      </c>
    </row>
    <row r="186" ht="22.5" customHeight="1">
      <c r="A186" s="30"/>
      <c r="B186" s="31"/>
      <c r="C186" s="31"/>
      <c r="D186" s="32"/>
      <c r="E186" s="15">
        <f t="shared" si="1"/>
        <v>0</v>
      </c>
    </row>
    <row r="187" ht="22.5" customHeight="1">
      <c r="A187" s="30"/>
      <c r="B187" s="31"/>
      <c r="C187" s="31"/>
      <c r="D187" s="32"/>
      <c r="E187" s="15">
        <f t="shared" si="1"/>
        <v>0</v>
      </c>
    </row>
    <row r="188" ht="22.5" customHeight="1">
      <c r="A188" s="30"/>
      <c r="B188" s="31"/>
      <c r="C188" s="31"/>
      <c r="D188" s="32"/>
      <c r="E188" s="15">
        <f t="shared" si="1"/>
        <v>0</v>
      </c>
    </row>
    <row r="189" ht="22.5" customHeight="1">
      <c r="A189" s="30"/>
      <c r="B189" s="31"/>
      <c r="C189" s="31"/>
      <c r="D189" s="32"/>
      <c r="E189" s="15">
        <f t="shared" si="1"/>
        <v>0</v>
      </c>
    </row>
    <row r="190" ht="22.5" customHeight="1">
      <c r="A190" s="30"/>
      <c r="B190" s="31"/>
      <c r="C190" s="31"/>
      <c r="D190" s="32"/>
      <c r="E190" s="15">
        <f t="shared" si="1"/>
        <v>0</v>
      </c>
    </row>
    <row r="191" ht="22.5" customHeight="1">
      <c r="A191" s="30"/>
      <c r="B191" s="31"/>
      <c r="C191" s="31"/>
      <c r="D191" s="32"/>
      <c r="E191" s="15">
        <f t="shared" si="1"/>
        <v>0</v>
      </c>
    </row>
    <row r="192" ht="22.5" customHeight="1">
      <c r="A192" s="30"/>
      <c r="B192" s="31"/>
      <c r="C192" s="31"/>
      <c r="D192" s="32"/>
      <c r="E192" s="15">
        <f t="shared" si="1"/>
        <v>0</v>
      </c>
    </row>
    <row r="193" ht="22.5" customHeight="1">
      <c r="A193" s="30"/>
      <c r="B193" s="31"/>
      <c r="C193" s="31"/>
      <c r="D193" s="32"/>
      <c r="E193" s="15">
        <f t="shared" si="1"/>
        <v>0</v>
      </c>
    </row>
    <row r="194" ht="22.5" customHeight="1">
      <c r="A194" s="30"/>
      <c r="B194" s="31"/>
      <c r="C194" s="31"/>
      <c r="D194" s="32"/>
      <c r="E194" s="15">
        <f t="shared" si="1"/>
        <v>0</v>
      </c>
    </row>
    <row r="195" ht="22.5" customHeight="1">
      <c r="A195" s="30"/>
      <c r="B195" s="31"/>
      <c r="C195" s="31"/>
      <c r="D195" s="32"/>
      <c r="E195" s="15">
        <f t="shared" si="1"/>
        <v>0</v>
      </c>
    </row>
    <row r="196" ht="22.5" customHeight="1">
      <c r="A196" s="30"/>
      <c r="B196" s="31"/>
      <c r="C196" s="31"/>
      <c r="D196" s="32"/>
      <c r="E196" s="15">
        <f t="shared" si="1"/>
        <v>0</v>
      </c>
    </row>
    <row r="197" ht="22.5" customHeight="1">
      <c r="A197" s="30"/>
      <c r="B197" s="31"/>
      <c r="C197" s="31"/>
      <c r="D197" s="32"/>
      <c r="E197" s="15">
        <f t="shared" si="1"/>
        <v>0</v>
      </c>
    </row>
    <row r="198" ht="22.5" customHeight="1">
      <c r="A198" s="30"/>
      <c r="B198" s="31"/>
      <c r="C198" s="31"/>
      <c r="D198" s="32"/>
      <c r="E198" s="15">
        <f t="shared" si="1"/>
        <v>0</v>
      </c>
    </row>
    <row r="199" ht="22.5" customHeight="1">
      <c r="A199" s="30"/>
      <c r="B199" s="31"/>
      <c r="C199" s="31"/>
      <c r="D199" s="32"/>
      <c r="E199" s="15">
        <f t="shared" si="1"/>
        <v>0</v>
      </c>
    </row>
    <row r="200" ht="22.5" customHeight="1">
      <c r="A200" s="30"/>
      <c r="B200" s="31"/>
      <c r="C200" s="31"/>
      <c r="D200" s="32"/>
      <c r="E200" s="15">
        <f t="shared" si="1"/>
        <v>0</v>
      </c>
    </row>
    <row r="201" ht="22.5" customHeight="1">
      <c r="A201" s="30"/>
      <c r="B201" s="31"/>
      <c r="C201" s="31"/>
      <c r="D201" s="32"/>
      <c r="E201" s="15">
        <f t="shared" si="1"/>
        <v>0</v>
      </c>
    </row>
    <row r="202" ht="22.5" customHeight="1">
      <c r="A202" s="30"/>
      <c r="B202" s="31"/>
      <c r="C202" s="31"/>
      <c r="D202" s="32"/>
      <c r="E202" s="15">
        <f t="shared" si="1"/>
        <v>0</v>
      </c>
    </row>
    <row r="203" ht="22.5" customHeight="1">
      <c r="A203" s="30"/>
      <c r="B203" s="31"/>
      <c r="C203" s="31"/>
      <c r="D203" s="32"/>
      <c r="E203" s="15">
        <f t="shared" si="1"/>
        <v>0</v>
      </c>
    </row>
    <row r="204" ht="22.5" customHeight="1">
      <c r="A204" s="30"/>
      <c r="B204" s="31"/>
      <c r="C204" s="31"/>
      <c r="D204" s="32"/>
      <c r="E204" s="15">
        <f t="shared" si="1"/>
        <v>0</v>
      </c>
    </row>
    <row r="205" ht="22.5" customHeight="1">
      <c r="A205" s="30"/>
      <c r="B205" s="31"/>
      <c r="C205" s="31"/>
      <c r="D205" s="32"/>
      <c r="E205" s="15">
        <f t="shared" si="1"/>
        <v>0</v>
      </c>
    </row>
    <row r="206" ht="22.5" customHeight="1">
      <c r="A206" s="30"/>
      <c r="B206" s="31"/>
      <c r="C206" s="31"/>
      <c r="D206" s="32"/>
      <c r="E206" s="15">
        <f t="shared" si="1"/>
        <v>0</v>
      </c>
    </row>
    <row r="207" ht="22.5" customHeight="1">
      <c r="A207" s="30"/>
      <c r="B207" s="31"/>
      <c r="C207" s="31"/>
      <c r="D207" s="32"/>
      <c r="E207" s="15">
        <f t="shared" si="1"/>
        <v>0</v>
      </c>
    </row>
    <row r="208" ht="22.5" customHeight="1">
      <c r="A208" s="30"/>
      <c r="B208" s="31"/>
      <c r="C208" s="31"/>
      <c r="D208" s="32"/>
      <c r="E208" s="15">
        <f t="shared" si="1"/>
        <v>0</v>
      </c>
    </row>
    <row r="209" ht="22.5" customHeight="1">
      <c r="A209" s="30"/>
      <c r="B209" s="31"/>
      <c r="C209" s="31"/>
      <c r="D209" s="32"/>
      <c r="E209" s="15">
        <f t="shared" si="1"/>
        <v>0</v>
      </c>
    </row>
    <row r="210" ht="22.5" customHeight="1">
      <c r="A210" s="30"/>
      <c r="B210" s="31"/>
      <c r="C210" s="31"/>
      <c r="D210" s="32"/>
      <c r="E210" s="15">
        <f t="shared" si="1"/>
        <v>0</v>
      </c>
    </row>
    <row r="211" ht="22.5" customHeight="1">
      <c r="A211" s="30"/>
      <c r="B211" s="31"/>
      <c r="C211" s="31"/>
      <c r="D211" s="32"/>
      <c r="E211" s="15">
        <f t="shared" si="1"/>
        <v>0</v>
      </c>
    </row>
    <row r="212" ht="22.5" customHeight="1">
      <c r="A212" s="30"/>
      <c r="B212" s="31"/>
      <c r="C212" s="31"/>
      <c r="D212" s="32"/>
      <c r="E212" s="15">
        <f t="shared" si="1"/>
        <v>0</v>
      </c>
    </row>
    <row r="213" ht="22.5" customHeight="1">
      <c r="A213" s="30"/>
      <c r="B213" s="31"/>
      <c r="C213" s="31"/>
      <c r="D213" s="32"/>
      <c r="E213" s="15">
        <f t="shared" si="1"/>
        <v>0</v>
      </c>
    </row>
    <row r="214" ht="22.5" customHeight="1">
      <c r="A214" s="30"/>
      <c r="B214" s="31"/>
      <c r="C214" s="31"/>
      <c r="D214" s="32"/>
      <c r="E214" s="15">
        <f t="shared" si="1"/>
        <v>0</v>
      </c>
    </row>
    <row r="215" ht="22.5" customHeight="1">
      <c r="A215" s="30"/>
      <c r="B215" s="31"/>
      <c r="C215" s="31"/>
      <c r="D215" s="32"/>
      <c r="E215" s="15">
        <f t="shared" si="1"/>
        <v>0</v>
      </c>
    </row>
    <row r="216" ht="22.5" customHeight="1">
      <c r="A216" s="30"/>
      <c r="B216" s="31"/>
      <c r="C216" s="31"/>
      <c r="D216" s="32"/>
      <c r="E216" s="15">
        <f t="shared" si="1"/>
        <v>0</v>
      </c>
    </row>
    <row r="217" ht="22.5" customHeight="1">
      <c r="A217" s="30"/>
      <c r="B217" s="31"/>
      <c r="C217" s="31"/>
      <c r="D217" s="32"/>
      <c r="E217" s="15">
        <f t="shared" si="1"/>
        <v>0</v>
      </c>
    </row>
    <row r="218" ht="22.5" customHeight="1">
      <c r="A218" s="30"/>
      <c r="B218" s="31"/>
      <c r="C218" s="31"/>
      <c r="D218" s="32"/>
      <c r="E218" s="15">
        <f t="shared" si="1"/>
        <v>0</v>
      </c>
    </row>
    <row r="219" ht="22.5" customHeight="1">
      <c r="A219" s="30"/>
      <c r="B219" s="31"/>
      <c r="C219" s="31"/>
      <c r="D219" s="32"/>
      <c r="E219" s="15">
        <f t="shared" si="1"/>
        <v>0</v>
      </c>
    </row>
    <row r="220" ht="22.5" customHeight="1">
      <c r="A220" s="30"/>
      <c r="B220" s="31"/>
      <c r="C220" s="31"/>
      <c r="D220" s="32"/>
      <c r="E220" s="15">
        <f t="shared" si="1"/>
        <v>0</v>
      </c>
    </row>
    <row r="221" ht="22.5" customHeight="1">
      <c r="A221" s="30"/>
      <c r="B221" s="31"/>
      <c r="C221" s="31"/>
      <c r="D221" s="32"/>
      <c r="E221" s="15">
        <f t="shared" si="1"/>
        <v>0</v>
      </c>
    </row>
    <row r="222" ht="22.5" customHeight="1">
      <c r="A222" s="30"/>
      <c r="B222" s="31"/>
      <c r="C222" s="31"/>
      <c r="D222" s="32"/>
      <c r="E222" s="15">
        <f t="shared" si="1"/>
        <v>0</v>
      </c>
    </row>
    <row r="223" ht="22.5" customHeight="1">
      <c r="A223" s="30"/>
      <c r="B223" s="31"/>
      <c r="C223" s="31"/>
      <c r="D223" s="32"/>
      <c r="E223" s="15">
        <f t="shared" si="1"/>
        <v>0</v>
      </c>
    </row>
    <row r="224" ht="22.5" customHeight="1">
      <c r="A224" s="30"/>
      <c r="B224" s="31"/>
      <c r="C224" s="31"/>
      <c r="D224" s="32"/>
      <c r="E224" s="15">
        <f t="shared" si="1"/>
        <v>0</v>
      </c>
    </row>
    <row r="225" ht="22.5" customHeight="1">
      <c r="A225" s="30"/>
      <c r="B225" s="31"/>
      <c r="C225" s="31"/>
      <c r="D225" s="32"/>
      <c r="E225" s="15">
        <f t="shared" si="1"/>
        <v>0</v>
      </c>
    </row>
    <row r="226" ht="22.5" customHeight="1">
      <c r="A226" s="30"/>
      <c r="B226" s="31"/>
      <c r="C226" s="31"/>
      <c r="D226" s="32"/>
      <c r="E226" s="15">
        <f t="shared" si="1"/>
        <v>0</v>
      </c>
    </row>
    <row r="227" ht="22.5" customHeight="1">
      <c r="A227" s="30"/>
      <c r="B227" s="31"/>
      <c r="C227" s="31"/>
      <c r="D227" s="32"/>
      <c r="E227" s="15">
        <f t="shared" si="1"/>
        <v>0</v>
      </c>
    </row>
    <row r="228" ht="22.5" customHeight="1">
      <c r="A228" s="30"/>
      <c r="B228" s="31"/>
      <c r="C228" s="31"/>
      <c r="D228" s="32"/>
      <c r="E228" s="15">
        <f t="shared" si="1"/>
        <v>0</v>
      </c>
    </row>
    <row r="229" ht="22.5" customHeight="1">
      <c r="A229" s="30"/>
      <c r="B229" s="31"/>
      <c r="C229" s="31"/>
      <c r="D229" s="32"/>
      <c r="E229" s="15">
        <f t="shared" si="1"/>
        <v>0</v>
      </c>
    </row>
    <row r="230" ht="22.5" customHeight="1">
      <c r="A230" s="30"/>
      <c r="B230" s="31"/>
      <c r="C230" s="31"/>
      <c r="D230" s="32"/>
      <c r="E230" s="15">
        <f t="shared" si="1"/>
        <v>0</v>
      </c>
    </row>
    <row r="231" ht="22.5" customHeight="1">
      <c r="A231" s="30"/>
      <c r="B231" s="31"/>
      <c r="C231" s="31"/>
      <c r="D231" s="32"/>
      <c r="E231" s="15">
        <f t="shared" si="1"/>
        <v>0</v>
      </c>
    </row>
    <row r="232" ht="22.5" customHeight="1">
      <c r="A232" s="30"/>
      <c r="B232" s="31"/>
      <c r="C232" s="31"/>
      <c r="D232" s="32"/>
      <c r="E232" s="15">
        <f t="shared" si="1"/>
        <v>0</v>
      </c>
    </row>
    <row r="233" ht="22.5" customHeight="1">
      <c r="A233" s="30"/>
      <c r="B233" s="31"/>
      <c r="C233" s="31"/>
      <c r="D233" s="32"/>
      <c r="E233" s="15">
        <f t="shared" si="1"/>
        <v>0</v>
      </c>
    </row>
    <row r="234" ht="22.5" customHeight="1">
      <c r="A234" s="30"/>
      <c r="B234" s="31"/>
      <c r="C234" s="31"/>
      <c r="D234" s="32"/>
      <c r="E234" s="15">
        <f t="shared" si="1"/>
        <v>0</v>
      </c>
    </row>
    <row r="235" ht="22.5" customHeight="1">
      <c r="A235" s="30"/>
      <c r="B235" s="31"/>
      <c r="C235" s="31"/>
      <c r="D235" s="32"/>
      <c r="E235" s="15">
        <f t="shared" si="1"/>
        <v>0</v>
      </c>
    </row>
    <row r="236" ht="22.5" customHeight="1">
      <c r="A236" s="30"/>
      <c r="B236" s="31"/>
      <c r="C236" s="31"/>
      <c r="D236" s="32"/>
      <c r="E236" s="15">
        <f t="shared" si="1"/>
        <v>0</v>
      </c>
    </row>
    <row r="237" ht="22.5" customHeight="1">
      <c r="A237" s="30"/>
      <c r="B237" s="31"/>
      <c r="C237" s="31"/>
      <c r="D237" s="32"/>
      <c r="E237" s="15">
        <f t="shared" si="1"/>
        <v>0</v>
      </c>
    </row>
    <row r="238" ht="22.5" customHeight="1">
      <c r="A238" s="30"/>
      <c r="B238" s="31"/>
      <c r="C238" s="31"/>
      <c r="D238" s="32"/>
      <c r="E238" s="15">
        <f t="shared" si="1"/>
        <v>0</v>
      </c>
    </row>
    <row r="239" ht="22.5" customHeight="1">
      <c r="A239" s="30"/>
      <c r="B239" s="31"/>
      <c r="C239" s="31"/>
      <c r="D239" s="32"/>
      <c r="E239" s="15">
        <f t="shared" si="1"/>
        <v>0</v>
      </c>
    </row>
    <row r="240" ht="22.5" customHeight="1">
      <c r="A240" s="30"/>
      <c r="B240" s="31"/>
      <c r="C240" s="31"/>
      <c r="D240" s="32"/>
      <c r="E240" s="15">
        <f t="shared" si="1"/>
        <v>0</v>
      </c>
    </row>
    <row r="241" ht="22.5" customHeight="1">
      <c r="A241" s="30"/>
      <c r="B241" s="31"/>
      <c r="C241" s="31"/>
      <c r="D241" s="32"/>
      <c r="E241" s="15">
        <f t="shared" si="1"/>
        <v>0</v>
      </c>
    </row>
    <row r="242" ht="22.5" customHeight="1">
      <c r="A242" s="30"/>
      <c r="B242" s="31"/>
      <c r="C242" s="31"/>
      <c r="D242" s="32"/>
      <c r="E242" s="15">
        <f t="shared" si="1"/>
        <v>0</v>
      </c>
    </row>
    <row r="243" ht="22.5" customHeight="1">
      <c r="A243" s="30"/>
      <c r="B243" s="31"/>
      <c r="C243" s="31"/>
      <c r="D243" s="32"/>
      <c r="E243" s="15">
        <f t="shared" si="1"/>
        <v>0</v>
      </c>
    </row>
    <row r="244" ht="22.5" customHeight="1">
      <c r="A244" s="30"/>
      <c r="B244" s="31"/>
      <c r="C244" s="31"/>
      <c r="D244" s="32"/>
      <c r="E244" s="15">
        <f t="shared" si="1"/>
        <v>0</v>
      </c>
    </row>
    <row r="245" ht="22.5" customHeight="1">
      <c r="A245" s="30"/>
      <c r="B245" s="31"/>
      <c r="C245" s="31"/>
      <c r="D245" s="32"/>
      <c r="E245" s="15">
        <f t="shared" si="1"/>
        <v>0</v>
      </c>
    </row>
    <row r="246" ht="22.5" customHeight="1">
      <c r="A246" s="30"/>
      <c r="B246" s="31"/>
      <c r="C246" s="31"/>
      <c r="D246" s="32"/>
      <c r="E246" s="15">
        <f t="shared" si="1"/>
        <v>0</v>
      </c>
    </row>
    <row r="247" ht="22.5" customHeight="1">
      <c r="A247" s="30"/>
      <c r="B247" s="31"/>
      <c r="C247" s="31"/>
      <c r="D247" s="32"/>
      <c r="E247" s="15">
        <f t="shared" si="1"/>
        <v>0</v>
      </c>
    </row>
    <row r="248" ht="22.5" customHeight="1">
      <c r="A248" s="30"/>
      <c r="B248" s="31"/>
      <c r="C248" s="31"/>
      <c r="D248" s="32"/>
      <c r="E248" s="15">
        <f t="shared" si="1"/>
        <v>0</v>
      </c>
    </row>
    <row r="249" ht="22.5" customHeight="1">
      <c r="A249" s="30"/>
      <c r="B249" s="31"/>
      <c r="C249" s="31"/>
      <c r="D249" s="32"/>
      <c r="E249" s="15">
        <f t="shared" si="1"/>
        <v>0</v>
      </c>
    </row>
    <row r="250" ht="22.5" customHeight="1">
      <c r="A250" s="30"/>
      <c r="B250" s="31"/>
      <c r="C250" s="31"/>
      <c r="D250" s="32"/>
      <c r="E250" s="15">
        <f t="shared" si="1"/>
        <v>0</v>
      </c>
    </row>
    <row r="251" ht="22.5" customHeight="1">
      <c r="A251" s="30"/>
      <c r="B251" s="31"/>
      <c r="C251" s="31"/>
      <c r="D251" s="32"/>
      <c r="E251" s="15">
        <f t="shared" si="1"/>
        <v>0</v>
      </c>
    </row>
    <row r="252" ht="22.5" customHeight="1">
      <c r="A252" s="30"/>
      <c r="B252" s="31"/>
      <c r="C252" s="31"/>
      <c r="D252" s="32"/>
      <c r="E252" s="15">
        <f t="shared" si="1"/>
        <v>0</v>
      </c>
    </row>
    <row r="253" ht="22.5" customHeight="1">
      <c r="A253" s="30"/>
      <c r="B253" s="31"/>
      <c r="C253" s="31"/>
      <c r="D253" s="32"/>
      <c r="E253" s="15">
        <f t="shared" si="1"/>
        <v>0</v>
      </c>
    </row>
    <row r="254" ht="22.5" customHeight="1">
      <c r="A254" s="30"/>
      <c r="B254" s="31"/>
      <c r="C254" s="31"/>
      <c r="D254" s="32"/>
      <c r="E254" s="15">
        <f t="shared" si="1"/>
        <v>0</v>
      </c>
    </row>
    <row r="255" ht="22.5" customHeight="1">
      <c r="A255" s="30"/>
      <c r="B255" s="31"/>
      <c r="C255" s="31"/>
      <c r="D255" s="32"/>
      <c r="E255" s="15">
        <f t="shared" si="1"/>
        <v>0</v>
      </c>
    </row>
    <row r="256" ht="22.5" customHeight="1">
      <c r="A256" s="30"/>
      <c r="B256" s="31"/>
      <c r="C256" s="31"/>
      <c r="D256" s="32"/>
      <c r="E256" s="15">
        <f t="shared" si="1"/>
        <v>0</v>
      </c>
    </row>
    <row r="257" ht="22.5" customHeight="1">
      <c r="A257" s="30"/>
      <c r="B257" s="31"/>
      <c r="C257" s="31"/>
      <c r="D257" s="32"/>
      <c r="E257" s="15">
        <f t="shared" si="1"/>
        <v>0</v>
      </c>
    </row>
    <row r="258" ht="22.5" customHeight="1">
      <c r="A258" s="30"/>
      <c r="B258" s="31"/>
      <c r="C258" s="31"/>
      <c r="D258" s="32"/>
      <c r="E258" s="15">
        <f t="shared" si="1"/>
        <v>0</v>
      </c>
    </row>
    <row r="259" ht="22.5" customHeight="1">
      <c r="A259" s="30"/>
      <c r="B259" s="31"/>
      <c r="C259" s="31"/>
      <c r="D259" s="32"/>
      <c r="E259" s="15">
        <f t="shared" si="1"/>
        <v>0</v>
      </c>
    </row>
    <row r="260" ht="22.5" customHeight="1">
      <c r="A260" s="30"/>
      <c r="B260" s="31"/>
      <c r="C260" s="31"/>
      <c r="D260" s="32"/>
      <c r="E260" s="15">
        <f t="shared" si="1"/>
        <v>0</v>
      </c>
    </row>
    <row r="261" ht="22.5" customHeight="1">
      <c r="A261" s="30"/>
      <c r="B261" s="31"/>
      <c r="C261" s="31"/>
      <c r="D261" s="32"/>
      <c r="E261" s="15">
        <f t="shared" si="1"/>
        <v>0</v>
      </c>
    </row>
    <row r="262" ht="22.5" customHeight="1">
      <c r="A262" s="30"/>
      <c r="B262" s="31"/>
      <c r="C262" s="31"/>
      <c r="D262" s="32"/>
      <c r="E262" s="15">
        <f t="shared" si="1"/>
        <v>0</v>
      </c>
    </row>
    <row r="263" ht="22.5" customHeight="1">
      <c r="A263" s="30"/>
      <c r="B263" s="31"/>
      <c r="C263" s="31"/>
      <c r="D263" s="32"/>
      <c r="E263" s="15">
        <f t="shared" si="1"/>
        <v>0</v>
      </c>
    </row>
    <row r="264" ht="22.5" customHeight="1">
      <c r="A264" s="30"/>
      <c r="B264" s="31"/>
      <c r="C264" s="31"/>
      <c r="D264" s="32"/>
      <c r="E264" s="15">
        <f t="shared" si="1"/>
        <v>0</v>
      </c>
    </row>
    <row r="265" ht="22.5" customHeight="1">
      <c r="A265" s="30"/>
      <c r="B265" s="31"/>
      <c r="C265" s="31"/>
      <c r="D265" s="32"/>
      <c r="E265" s="15">
        <f t="shared" si="1"/>
        <v>0</v>
      </c>
    </row>
    <row r="266" ht="22.5" customHeight="1">
      <c r="A266" s="30"/>
      <c r="B266" s="31"/>
      <c r="C266" s="31"/>
      <c r="D266" s="32"/>
      <c r="E266" s="15">
        <f t="shared" si="1"/>
        <v>0</v>
      </c>
    </row>
    <row r="267" ht="22.5" customHeight="1">
      <c r="A267" s="30"/>
      <c r="B267" s="31"/>
      <c r="C267" s="31"/>
      <c r="D267" s="32"/>
      <c r="E267" s="15">
        <f t="shared" si="1"/>
        <v>0</v>
      </c>
    </row>
    <row r="268" ht="22.5" customHeight="1">
      <c r="A268" s="30"/>
      <c r="B268" s="31"/>
      <c r="C268" s="31"/>
      <c r="D268" s="32"/>
      <c r="E268" s="15">
        <f t="shared" si="1"/>
        <v>0</v>
      </c>
    </row>
    <row r="269" ht="22.5" customHeight="1">
      <c r="A269" s="30"/>
      <c r="B269" s="31"/>
      <c r="C269" s="31"/>
      <c r="D269" s="32"/>
      <c r="E269" s="15">
        <f t="shared" si="1"/>
        <v>0</v>
      </c>
    </row>
    <row r="270" ht="22.5" customHeight="1">
      <c r="A270" s="30"/>
      <c r="B270" s="31"/>
      <c r="C270" s="31"/>
      <c r="D270" s="32"/>
      <c r="E270" s="15">
        <f t="shared" si="1"/>
        <v>0</v>
      </c>
    </row>
    <row r="271" ht="22.5" customHeight="1">
      <c r="A271" s="30"/>
      <c r="B271" s="31"/>
      <c r="C271" s="31"/>
      <c r="D271" s="32"/>
      <c r="E271" s="15">
        <f t="shared" si="1"/>
        <v>0</v>
      </c>
    </row>
    <row r="272" ht="22.5" customHeight="1">
      <c r="A272" s="30"/>
      <c r="B272" s="31"/>
      <c r="C272" s="31"/>
      <c r="D272" s="32"/>
      <c r="E272" s="15">
        <f t="shared" si="1"/>
        <v>0</v>
      </c>
    </row>
    <row r="273" ht="22.5" customHeight="1">
      <c r="A273" s="30"/>
      <c r="B273" s="31"/>
      <c r="C273" s="31"/>
      <c r="D273" s="32"/>
      <c r="E273" s="15">
        <f t="shared" si="1"/>
        <v>0</v>
      </c>
    </row>
    <row r="274" ht="22.5" customHeight="1">
      <c r="A274" s="30"/>
      <c r="B274" s="31"/>
      <c r="C274" s="31"/>
      <c r="D274" s="32"/>
      <c r="E274" s="15">
        <f t="shared" si="1"/>
        <v>0</v>
      </c>
    </row>
    <row r="275" ht="22.5" customHeight="1">
      <c r="A275" s="30"/>
      <c r="B275" s="31"/>
      <c r="C275" s="31"/>
      <c r="D275" s="32"/>
      <c r="E275" s="15">
        <f t="shared" si="1"/>
        <v>0</v>
      </c>
    </row>
    <row r="276" ht="22.5" customHeight="1">
      <c r="A276" s="30"/>
      <c r="B276" s="31"/>
      <c r="C276" s="31"/>
      <c r="D276" s="32"/>
      <c r="E276" s="15">
        <f t="shared" si="1"/>
        <v>0</v>
      </c>
    </row>
    <row r="277" ht="22.5" customHeight="1">
      <c r="A277" s="30"/>
      <c r="B277" s="31"/>
      <c r="C277" s="31"/>
      <c r="D277" s="32"/>
      <c r="E277" s="15">
        <f t="shared" si="1"/>
        <v>0</v>
      </c>
    </row>
    <row r="278" ht="22.5" customHeight="1">
      <c r="A278" s="30"/>
      <c r="B278" s="31"/>
      <c r="C278" s="31"/>
      <c r="D278" s="32"/>
      <c r="E278" s="15">
        <f t="shared" si="1"/>
        <v>0</v>
      </c>
    </row>
    <row r="279" ht="22.5" customHeight="1">
      <c r="A279" s="30"/>
      <c r="B279" s="31"/>
      <c r="C279" s="31"/>
      <c r="D279" s="32"/>
      <c r="E279" s="15">
        <f t="shared" si="1"/>
        <v>0</v>
      </c>
    </row>
    <row r="280" ht="22.5" customHeight="1">
      <c r="A280" s="30"/>
      <c r="B280" s="31"/>
      <c r="C280" s="31"/>
      <c r="D280" s="32"/>
      <c r="E280" s="15">
        <f t="shared" si="1"/>
        <v>0</v>
      </c>
    </row>
    <row r="281" ht="22.5" customHeight="1">
      <c r="A281" s="30"/>
      <c r="B281" s="31"/>
      <c r="C281" s="31"/>
      <c r="D281" s="32"/>
      <c r="E281" s="15">
        <f t="shared" si="1"/>
        <v>0</v>
      </c>
    </row>
    <row r="282" ht="22.5" customHeight="1">
      <c r="A282" s="30"/>
      <c r="B282" s="31"/>
      <c r="C282" s="31"/>
      <c r="D282" s="32"/>
      <c r="E282" s="15">
        <f t="shared" si="1"/>
        <v>0</v>
      </c>
    </row>
    <row r="283" ht="22.5" customHeight="1">
      <c r="A283" s="30"/>
      <c r="B283" s="31"/>
      <c r="C283" s="31"/>
      <c r="D283" s="32"/>
      <c r="E283" s="15">
        <f t="shared" si="1"/>
        <v>0</v>
      </c>
    </row>
    <row r="284" ht="22.5" customHeight="1">
      <c r="A284" s="30"/>
      <c r="B284" s="31"/>
      <c r="C284" s="31"/>
      <c r="D284" s="32"/>
      <c r="E284" s="15">
        <f t="shared" si="1"/>
        <v>0</v>
      </c>
    </row>
    <row r="285" ht="22.5" customHeight="1">
      <c r="A285" s="30"/>
      <c r="B285" s="31"/>
      <c r="C285" s="31"/>
      <c r="D285" s="32"/>
      <c r="E285" s="15">
        <f t="shared" si="1"/>
        <v>0</v>
      </c>
    </row>
    <row r="286" ht="22.5" customHeight="1">
      <c r="A286" s="30"/>
      <c r="B286" s="31"/>
      <c r="C286" s="31"/>
      <c r="D286" s="32"/>
      <c r="E286" s="15">
        <f t="shared" si="1"/>
        <v>0</v>
      </c>
    </row>
    <row r="287" ht="22.5" customHeight="1">
      <c r="A287" s="30"/>
      <c r="B287" s="31"/>
      <c r="C287" s="31"/>
      <c r="D287" s="32"/>
      <c r="E287" s="15">
        <f t="shared" si="1"/>
        <v>0</v>
      </c>
    </row>
    <row r="288" ht="22.5" customHeight="1">
      <c r="A288" s="30"/>
      <c r="B288" s="31"/>
      <c r="C288" s="31"/>
      <c r="D288" s="32"/>
      <c r="E288" s="15">
        <f t="shared" si="1"/>
        <v>0</v>
      </c>
    </row>
    <row r="289" ht="22.5" customHeight="1">
      <c r="A289" s="30"/>
      <c r="B289" s="31"/>
      <c r="C289" s="31"/>
      <c r="D289" s="32"/>
      <c r="E289" s="15">
        <f t="shared" si="1"/>
        <v>0</v>
      </c>
    </row>
    <row r="290" ht="22.5" customHeight="1">
      <c r="A290" s="30"/>
      <c r="B290" s="31"/>
      <c r="C290" s="31"/>
      <c r="D290" s="32"/>
      <c r="E290" s="15">
        <f t="shared" si="1"/>
        <v>0</v>
      </c>
    </row>
    <row r="291" ht="22.5" customHeight="1">
      <c r="A291" s="30"/>
      <c r="B291" s="31"/>
      <c r="C291" s="31"/>
      <c r="D291" s="32"/>
      <c r="E291" s="15">
        <f t="shared" si="1"/>
        <v>0</v>
      </c>
    </row>
    <row r="292" ht="22.5" customHeight="1">
      <c r="A292" s="30"/>
      <c r="B292" s="31"/>
      <c r="C292" s="31"/>
      <c r="D292" s="32"/>
      <c r="E292" s="15">
        <f t="shared" si="1"/>
        <v>0</v>
      </c>
    </row>
    <row r="293" ht="22.5" customHeight="1">
      <c r="A293" s="30"/>
      <c r="B293" s="31"/>
      <c r="C293" s="31"/>
      <c r="D293" s="32"/>
      <c r="E293" s="15">
        <f t="shared" si="1"/>
        <v>0</v>
      </c>
    </row>
    <row r="294" ht="22.5" customHeight="1">
      <c r="A294" s="30"/>
      <c r="B294" s="31"/>
      <c r="C294" s="31"/>
      <c r="D294" s="32"/>
      <c r="E294" s="15">
        <f t="shared" si="1"/>
        <v>0</v>
      </c>
    </row>
    <row r="295" ht="22.5" customHeight="1">
      <c r="A295" s="30"/>
      <c r="B295" s="31"/>
      <c r="C295" s="31"/>
      <c r="D295" s="32"/>
      <c r="E295" s="15">
        <f t="shared" si="1"/>
        <v>0</v>
      </c>
    </row>
    <row r="296" ht="22.5" customHeight="1">
      <c r="A296" s="30"/>
      <c r="B296" s="31"/>
      <c r="C296" s="31"/>
      <c r="D296" s="32"/>
      <c r="E296" s="15">
        <f t="shared" si="1"/>
        <v>0</v>
      </c>
    </row>
    <row r="297" ht="22.5" customHeight="1">
      <c r="A297" s="30"/>
      <c r="B297" s="31"/>
      <c r="C297" s="31"/>
      <c r="D297" s="32"/>
      <c r="E297" s="15">
        <f t="shared" si="1"/>
        <v>0</v>
      </c>
    </row>
    <row r="298" ht="22.5" customHeight="1">
      <c r="A298" s="30"/>
      <c r="B298" s="31"/>
      <c r="C298" s="31"/>
      <c r="D298" s="32"/>
      <c r="E298" s="15">
        <f t="shared" si="1"/>
        <v>0</v>
      </c>
    </row>
    <row r="299" ht="22.5" customHeight="1">
      <c r="A299" s="30"/>
      <c r="B299" s="31"/>
      <c r="C299" s="31"/>
      <c r="D299" s="32"/>
      <c r="E299" s="15">
        <f t="shared" si="1"/>
        <v>0</v>
      </c>
    </row>
    <row r="300" ht="22.5" customHeight="1">
      <c r="A300" s="30"/>
      <c r="B300" s="31"/>
      <c r="C300" s="31"/>
      <c r="D300" s="32"/>
      <c r="E300" s="15">
        <f t="shared" si="1"/>
        <v>0</v>
      </c>
    </row>
    <row r="301" ht="22.5" customHeight="1">
      <c r="A301" s="30"/>
      <c r="B301" s="31"/>
      <c r="C301" s="31"/>
      <c r="D301" s="32"/>
      <c r="E301" s="15">
        <f t="shared" si="1"/>
        <v>0</v>
      </c>
    </row>
    <row r="302" ht="22.5" customHeight="1">
      <c r="A302" s="30"/>
      <c r="B302" s="31"/>
      <c r="C302" s="31"/>
      <c r="D302" s="32"/>
      <c r="E302" s="15">
        <f t="shared" si="1"/>
        <v>0</v>
      </c>
    </row>
    <row r="303" ht="22.5" customHeight="1">
      <c r="A303" s="30"/>
      <c r="B303" s="31"/>
      <c r="C303" s="31"/>
      <c r="D303" s="32"/>
      <c r="E303" s="15">
        <f t="shared" si="1"/>
        <v>0</v>
      </c>
    </row>
    <row r="304" ht="22.5" customHeight="1">
      <c r="A304" s="30"/>
      <c r="B304" s="31"/>
      <c r="C304" s="31"/>
      <c r="D304" s="32"/>
      <c r="E304" s="15">
        <f t="shared" si="1"/>
        <v>0</v>
      </c>
    </row>
    <row r="305" ht="22.5" customHeight="1">
      <c r="A305" s="30"/>
      <c r="B305" s="31"/>
      <c r="C305" s="31"/>
      <c r="D305" s="32"/>
      <c r="E305" s="15">
        <f t="shared" si="1"/>
        <v>0</v>
      </c>
    </row>
    <row r="306" ht="22.5" customHeight="1">
      <c r="A306" s="30"/>
      <c r="B306" s="31"/>
      <c r="C306" s="31"/>
      <c r="D306" s="32"/>
      <c r="E306" s="15">
        <f t="shared" si="1"/>
        <v>0</v>
      </c>
    </row>
    <row r="307" ht="22.5" customHeight="1">
      <c r="A307" s="30"/>
      <c r="B307" s="31"/>
      <c r="C307" s="31"/>
      <c r="D307" s="32"/>
      <c r="E307" s="15">
        <f t="shared" si="1"/>
        <v>0</v>
      </c>
    </row>
    <row r="308" ht="22.5" customHeight="1">
      <c r="A308" s="30"/>
      <c r="B308" s="31"/>
      <c r="C308" s="31"/>
      <c r="D308" s="32"/>
      <c r="E308" s="15">
        <f t="shared" si="1"/>
        <v>0</v>
      </c>
    </row>
    <row r="309" ht="22.5" customHeight="1">
      <c r="A309" s="30"/>
      <c r="B309" s="31"/>
      <c r="C309" s="31"/>
      <c r="D309" s="32"/>
      <c r="E309" s="15">
        <f t="shared" si="1"/>
        <v>0</v>
      </c>
    </row>
    <row r="310" ht="22.5" customHeight="1">
      <c r="A310" s="30"/>
      <c r="B310" s="31"/>
      <c r="C310" s="31"/>
      <c r="D310" s="32"/>
      <c r="E310" s="15">
        <f t="shared" si="1"/>
        <v>0</v>
      </c>
    </row>
    <row r="311" ht="22.5" customHeight="1">
      <c r="A311" s="30"/>
      <c r="B311" s="31"/>
      <c r="C311" s="31"/>
      <c r="D311" s="32"/>
      <c r="E311" s="15">
        <f t="shared" si="1"/>
        <v>0</v>
      </c>
    </row>
    <row r="312" ht="22.5" customHeight="1">
      <c r="A312" s="30"/>
      <c r="B312" s="31"/>
      <c r="C312" s="31"/>
      <c r="D312" s="32"/>
      <c r="E312" s="15">
        <f t="shared" si="1"/>
        <v>0</v>
      </c>
    </row>
    <row r="313" ht="22.5" customHeight="1">
      <c r="A313" s="30"/>
      <c r="B313" s="31"/>
      <c r="C313" s="31"/>
      <c r="D313" s="32"/>
      <c r="E313" s="15">
        <f t="shared" si="1"/>
        <v>0</v>
      </c>
    </row>
    <row r="314" ht="22.5" customHeight="1">
      <c r="A314" s="30"/>
      <c r="B314" s="31"/>
      <c r="C314" s="31"/>
      <c r="D314" s="32"/>
      <c r="E314" s="15">
        <f t="shared" si="1"/>
        <v>0</v>
      </c>
    </row>
    <row r="315" ht="22.5" customHeight="1">
      <c r="A315" s="30"/>
      <c r="B315" s="31"/>
      <c r="C315" s="31"/>
      <c r="D315" s="32"/>
      <c r="E315" s="15">
        <f t="shared" si="1"/>
        <v>0</v>
      </c>
    </row>
    <row r="316" ht="22.5" customHeight="1">
      <c r="A316" s="30"/>
      <c r="B316" s="31"/>
      <c r="C316" s="31"/>
      <c r="D316" s="32"/>
      <c r="E316" s="15">
        <f t="shared" si="1"/>
        <v>0</v>
      </c>
    </row>
    <row r="317" ht="22.5" customHeight="1">
      <c r="A317" s="30"/>
      <c r="B317" s="31"/>
      <c r="C317" s="31"/>
      <c r="D317" s="32"/>
      <c r="E317" s="15">
        <f t="shared" si="1"/>
        <v>0</v>
      </c>
    </row>
    <row r="318" ht="22.5" customHeight="1">
      <c r="A318" s="30"/>
      <c r="B318" s="31"/>
      <c r="C318" s="31"/>
      <c r="D318" s="32"/>
      <c r="E318" s="15">
        <f t="shared" si="1"/>
        <v>0</v>
      </c>
    </row>
    <row r="319" ht="22.5" customHeight="1">
      <c r="A319" s="30"/>
      <c r="B319" s="31"/>
      <c r="C319" s="31"/>
      <c r="D319" s="32"/>
      <c r="E319" s="15">
        <f t="shared" si="1"/>
        <v>0</v>
      </c>
    </row>
    <row r="320" ht="22.5" customHeight="1">
      <c r="A320" s="30"/>
      <c r="B320" s="31"/>
      <c r="C320" s="31"/>
      <c r="D320" s="32"/>
      <c r="E320" s="15">
        <f t="shared" si="1"/>
        <v>0</v>
      </c>
    </row>
    <row r="321" ht="22.5" customHeight="1">
      <c r="A321" s="30"/>
      <c r="B321" s="31"/>
      <c r="C321" s="31"/>
      <c r="D321" s="32"/>
      <c r="E321" s="15">
        <f t="shared" si="1"/>
        <v>0</v>
      </c>
    </row>
    <row r="322" ht="22.5" customHeight="1">
      <c r="A322" s="30"/>
      <c r="B322" s="31"/>
      <c r="C322" s="31"/>
      <c r="D322" s="32"/>
      <c r="E322" s="15">
        <f t="shared" si="1"/>
        <v>0</v>
      </c>
    </row>
    <row r="323" ht="22.5" customHeight="1">
      <c r="A323" s="30"/>
      <c r="B323" s="31"/>
      <c r="C323" s="31"/>
      <c r="D323" s="32"/>
      <c r="E323" s="15">
        <f t="shared" si="1"/>
        <v>0</v>
      </c>
    </row>
    <row r="324" ht="22.5" customHeight="1">
      <c r="A324" s="30"/>
      <c r="B324" s="31"/>
      <c r="C324" s="31"/>
      <c r="D324" s="32"/>
      <c r="E324" s="15">
        <f t="shared" si="1"/>
        <v>0</v>
      </c>
    </row>
    <row r="325" ht="22.5" customHeight="1">
      <c r="A325" s="30"/>
      <c r="B325" s="31"/>
      <c r="C325" s="31"/>
      <c r="D325" s="32"/>
      <c r="E325" s="15">
        <f t="shared" si="1"/>
        <v>0</v>
      </c>
    </row>
    <row r="326" ht="22.5" customHeight="1">
      <c r="A326" s="30"/>
      <c r="B326" s="31"/>
      <c r="C326" s="31"/>
      <c r="D326" s="32"/>
      <c r="E326" s="15">
        <f t="shared" si="1"/>
        <v>0</v>
      </c>
    </row>
    <row r="327" ht="22.5" customHeight="1">
      <c r="A327" s="30"/>
      <c r="B327" s="31"/>
      <c r="C327" s="31"/>
      <c r="D327" s="32"/>
      <c r="E327" s="15">
        <f t="shared" si="1"/>
        <v>0</v>
      </c>
    </row>
    <row r="328" ht="22.5" customHeight="1">
      <c r="A328" s="30"/>
      <c r="B328" s="31"/>
      <c r="C328" s="31"/>
      <c r="D328" s="32"/>
      <c r="E328" s="15">
        <f t="shared" si="1"/>
        <v>0</v>
      </c>
    </row>
    <row r="329" ht="22.5" customHeight="1">
      <c r="A329" s="30"/>
      <c r="B329" s="31"/>
      <c r="C329" s="31"/>
      <c r="D329" s="32"/>
      <c r="E329" s="15">
        <f t="shared" si="1"/>
        <v>0</v>
      </c>
    </row>
    <row r="330" ht="22.5" customHeight="1">
      <c r="A330" s="30"/>
      <c r="B330" s="31"/>
      <c r="C330" s="31"/>
      <c r="D330" s="32"/>
      <c r="E330" s="15">
        <f t="shared" si="1"/>
        <v>0</v>
      </c>
    </row>
    <row r="331" ht="22.5" customHeight="1">
      <c r="A331" s="30"/>
      <c r="B331" s="31"/>
      <c r="C331" s="31"/>
      <c r="D331" s="32"/>
      <c r="E331" s="15">
        <f t="shared" si="1"/>
        <v>0</v>
      </c>
    </row>
    <row r="332" ht="22.5" customHeight="1">
      <c r="A332" s="30"/>
      <c r="B332" s="31"/>
      <c r="C332" s="31"/>
      <c r="D332" s="32"/>
      <c r="E332" s="15">
        <f t="shared" si="1"/>
        <v>0</v>
      </c>
    </row>
    <row r="333" ht="22.5" customHeight="1">
      <c r="A333" s="30"/>
      <c r="B333" s="31"/>
      <c r="C333" s="31"/>
      <c r="D333" s="32"/>
      <c r="E333" s="15">
        <f t="shared" si="1"/>
        <v>0</v>
      </c>
    </row>
    <row r="334" ht="22.5" customHeight="1">
      <c r="A334" s="30"/>
      <c r="B334" s="31"/>
      <c r="C334" s="31"/>
      <c r="D334" s="32"/>
      <c r="E334" s="15">
        <f t="shared" si="1"/>
        <v>0</v>
      </c>
    </row>
    <row r="335" ht="22.5" customHeight="1">
      <c r="A335" s="30"/>
      <c r="B335" s="31"/>
      <c r="C335" s="31"/>
      <c r="D335" s="32"/>
      <c r="E335" s="15">
        <f t="shared" si="1"/>
        <v>0</v>
      </c>
    </row>
    <row r="336" ht="22.5" customHeight="1">
      <c r="A336" s="30"/>
      <c r="B336" s="31"/>
      <c r="C336" s="31"/>
      <c r="D336" s="32"/>
      <c r="E336" s="15">
        <f t="shared" si="1"/>
        <v>0</v>
      </c>
    </row>
    <row r="337" ht="22.5" customHeight="1">
      <c r="A337" s="30"/>
      <c r="B337" s="31"/>
      <c r="C337" s="31"/>
      <c r="D337" s="32"/>
      <c r="E337" s="15">
        <f t="shared" si="1"/>
        <v>0</v>
      </c>
    </row>
    <row r="338" ht="22.5" customHeight="1">
      <c r="A338" s="30"/>
      <c r="B338" s="31"/>
      <c r="C338" s="31"/>
      <c r="D338" s="32"/>
      <c r="E338" s="15">
        <f t="shared" si="1"/>
        <v>0</v>
      </c>
    </row>
    <row r="339" ht="22.5" customHeight="1">
      <c r="A339" s="30"/>
      <c r="B339" s="31"/>
      <c r="C339" s="31"/>
      <c r="D339" s="32"/>
      <c r="E339" s="15">
        <f t="shared" si="1"/>
        <v>0</v>
      </c>
    </row>
    <row r="340" ht="22.5" customHeight="1">
      <c r="A340" s="30"/>
      <c r="B340" s="31"/>
      <c r="C340" s="31"/>
      <c r="D340" s="32"/>
      <c r="E340" s="15">
        <f t="shared" si="1"/>
        <v>0</v>
      </c>
    </row>
    <row r="341" ht="22.5" customHeight="1">
      <c r="A341" s="30"/>
      <c r="B341" s="31"/>
      <c r="C341" s="31"/>
      <c r="D341" s="32"/>
      <c r="E341" s="15">
        <f t="shared" si="1"/>
        <v>0</v>
      </c>
    </row>
    <row r="342" ht="22.5" customHeight="1">
      <c r="A342" s="30"/>
      <c r="B342" s="31"/>
      <c r="C342" s="31"/>
      <c r="D342" s="32"/>
      <c r="E342" s="15">
        <f t="shared" si="1"/>
        <v>0</v>
      </c>
    </row>
    <row r="343" ht="22.5" customHeight="1">
      <c r="A343" s="30"/>
      <c r="B343" s="31"/>
      <c r="C343" s="31"/>
      <c r="D343" s="32"/>
      <c r="E343" s="15">
        <f t="shared" si="1"/>
        <v>0</v>
      </c>
    </row>
    <row r="344" ht="22.5" customHeight="1">
      <c r="A344" s="30"/>
      <c r="B344" s="31"/>
      <c r="C344" s="31"/>
      <c r="D344" s="32"/>
      <c r="E344" s="15">
        <f t="shared" si="1"/>
        <v>0</v>
      </c>
    </row>
    <row r="345" ht="22.5" customHeight="1">
      <c r="A345" s="30"/>
      <c r="B345" s="31"/>
      <c r="C345" s="31"/>
      <c r="D345" s="32"/>
      <c r="E345" s="15">
        <f t="shared" si="1"/>
        <v>0</v>
      </c>
    </row>
    <row r="346" ht="22.5" customHeight="1">
      <c r="A346" s="30"/>
      <c r="B346" s="31"/>
      <c r="C346" s="31"/>
      <c r="D346" s="32"/>
      <c r="E346" s="15">
        <f t="shared" si="1"/>
        <v>0</v>
      </c>
    </row>
    <row r="347" ht="22.5" customHeight="1">
      <c r="A347" s="30"/>
      <c r="B347" s="31"/>
      <c r="C347" s="31"/>
      <c r="D347" s="32"/>
      <c r="E347" s="15">
        <f t="shared" si="1"/>
        <v>0</v>
      </c>
    </row>
    <row r="348" ht="22.5" customHeight="1">
      <c r="A348" s="30"/>
      <c r="B348" s="31"/>
      <c r="C348" s="31"/>
      <c r="D348" s="32"/>
      <c r="E348" s="15">
        <f t="shared" si="1"/>
        <v>0</v>
      </c>
    </row>
    <row r="349" ht="22.5" customHeight="1">
      <c r="A349" s="30"/>
      <c r="B349" s="31"/>
      <c r="C349" s="31"/>
      <c r="D349" s="32"/>
      <c r="E349" s="15">
        <f t="shared" si="1"/>
        <v>0</v>
      </c>
    </row>
    <row r="350" ht="22.5" customHeight="1">
      <c r="A350" s="30"/>
      <c r="B350" s="31"/>
      <c r="C350" s="31"/>
      <c r="D350" s="32"/>
      <c r="E350" s="15">
        <f t="shared" si="1"/>
        <v>0</v>
      </c>
    </row>
    <row r="351" ht="22.5" customHeight="1">
      <c r="A351" s="30"/>
      <c r="B351" s="31"/>
      <c r="C351" s="31"/>
      <c r="D351" s="32"/>
      <c r="E351" s="15">
        <f t="shared" si="1"/>
        <v>0</v>
      </c>
    </row>
    <row r="352" ht="22.5" customHeight="1">
      <c r="A352" s="30"/>
      <c r="B352" s="31"/>
      <c r="C352" s="31"/>
      <c r="D352" s="32"/>
      <c r="E352" s="15">
        <f t="shared" si="1"/>
        <v>0</v>
      </c>
    </row>
    <row r="353" ht="22.5" customHeight="1">
      <c r="A353" s="30"/>
      <c r="B353" s="31"/>
      <c r="C353" s="31"/>
      <c r="D353" s="32"/>
      <c r="E353" s="15">
        <f t="shared" si="1"/>
        <v>0</v>
      </c>
    </row>
    <row r="354" ht="22.5" customHeight="1">
      <c r="A354" s="30"/>
      <c r="B354" s="31"/>
      <c r="C354" s="31"/>
      <c r="D354" s="32"/>
      <c r="E354" s="15">
        <f t="shared" si="1"/>
        <v>0</v>
      </c>
    </row>
    <row r="355" ht="22.5" customHeight="1">
      <c r="A355" s="30"/>
      <c r="B355" s="31"/>
      <c r="C355" s="31"/>
      <c r="D355" s="32"/>
      <c r="E355" s="15">
        <f t="shared" si="1"/>
        <v>0</v>
      </c>
    </row>
    <row r="356" ht="22.5" customHeight="1">
      <c r="A356" s="30"/>
      <c r="B356" s="31"/>
      <c r="C356" s="31"/>
      <c r="D356" s="32"/>
      <c r="E356" s="15">
        <f t="shared" si="1"/>
        <v>0</v>
      </c>
    </row>
    <row r="357" ht="22.5" customHeight="1">
      <c r="A357" s="30"/>
      <c r="B357" s="31"/>
      <c r="C357" s="31"/>
      <c r="D357" s="32"/>
      <c r="E357" s="15">
        <f t="shared" si="1"/>
        <v>0</v>
      </c>
    </row>
    <row r="358" ht="22.5" customHeight="1">
      <c r="A358" s="30"/>
      <c r="B358" s="31"/>
      <c r="C358" s="31"/>
      <c r="D358" s="32"/>
      <c r="E358" s="15">
        <f t="shared" si="1"/>
        <v>0</v>
      </c>
    </row>
    <row r="359" ht="22.5" customHeight="1">
      <c r="A359" s="30"/>
      <c r="B359" s="31"/>
      <c r="C359" s="31"/>
      <c r="D359" s="32"/>
      <c r="E359" s="15">
        <f t="shared" si="1"/>
        <v>0</v>
      </c>
    </row>
    <row r="360" ht="22.5" customHeight="1">
      <c r="A360" s="30"/>
      <c r="B360" s="31"/>
      <c r="C360" s="31"/>
      <c r="D360" s="32"/>
      <c r="E360" s="15">
        <f t="shared" si="1"/>
        <v>0</v>
      </c>
    </row>
    <row r="361" ht="22.5" customHeight="1">
      <c r="A361" s="30"/>
      <c r="B361" s="31"/>
      <c r="C361" s="31"/>
      <c r="D361" s="32"/>
      <c r="E361" s="15">
        <f t="shared" si="1"/>
        <v>0</v>
      </c>
    </row>
    <row r="362" ht="22.5" customHeight="1">
      <c r="A362" s="30"/>
      <c r="B362" s="31"/>
      <c r="C362" s="31"/>
      <c r="D362" s="32"/>
      <c r="E362" s="15">
        <f t="shared" si="1"/>
        <v>0</v>
      </c>
    </row>
    <row r="363" ht="22.5" customHeight="1">
      <c r="A363" s="30"/>
      <c r="B363" s="31"/>
      <c r="C363" s="31"/>
      <c r="D363" s="32"/>
      <c r="E363" s="15">
        <f t="shared" si="1"/>
        <v>0</v>
      </c>
    </row>
    <row r="364" ht="22.5" customHeight="1">
      <c r="A364" s="30"/>
      <c r="B364" s="31"/>
      <c r="C364" s="31"/>
      <c r="D364" s="32"/>
      <c r="E364" s="15">
        <f t="shared" si="1"/>
        <v>0</v>
      </c>
    </row>
    <row r="365" ht="22.5" customHeight="1">
      <c r="A365" s="30"/>
      <c r="B365" s="31"/>
      <c r="C365" s="31"/>
      <c r="D365" s="32"/>
      <c r="E365" s="15">
        <f t="shared" si="1"/>
        <v>0</v>
      </c>
    </row>
    <row r="366" ht="22.5" customHeight="1">
      <c r="A366" s="30"/>
      <c r="B366" s="31"/>
      <c r="C366" s="31"/>
      <c r="D366" s="32"/>
      <c r="E366" s="15">
        <f t="shared" si="1"/>
        <v>0</v>
      </c>
    </row>
    <row r="367" ht="22.5" customHeight="1">
      <c r="A367" s="30"/>
      <c r="B367" s="31"/>
      <c r="C367" s="31"/>
      <c r="D367" s="32"/>
      <c r="E367" s="15">
        <f t="shared" si="1"/>
        <v>0</v>
      </c>
    </row>
    <row r="368" ht="22.5" customHeight="1">
      <c r="A368" s="30"/>
      <c r="B368" s="31"/>
      <c r="C368" s="31"/>
      <c r="D368" s="32"/>
      <c r="E368" s="15">
        <f t="shared" si="1"/>
        <v>0</v>
      </c>
    </row>
    <row r="369" ht="22.5" customHeight="1">
      <c r="A369" s="30"/>
      <c r="B369" s="31"/>
      <c r="C369" s="31"/>
      <c r="D369" s="32"/>
      <c r="E369" s="15">
        <f t="shared" si="1"/>
        <v>0</v>
      </c>
    </row>
    <row r="370" ht="22.5" customHeight="1">
      <c r="A370" s="30"/>
      <c r="B370" s="31"/>
      <c r="C370" s="31"/>
      <c r="D370" s="32"/>
      <c r="E370" s="15">
        <f t="shared" si="1"/>
        <v>0</v>
      </c>
    </row>
    <row r="371" ht="22.5" customHeight="1">
      <c r="A371" s="30"/>
      <c r="B371" s="31"/>
      <c r="C371" s="31"/>
      <c r="D371" s="32"/>
      <c r="E371" s="15">
        <f t="shared" si="1"/>
        <v>0</v>
      </c>
    </row>
    <row r="372" ht="22.5" customHeight="1">
      <c r="A372" s="30"/>
      <c r="B372" s="31"/>
      <c r="C372" s="31"/>
      <c r="D372" s="32"/>
      <c r="E372" s="15">
        <f t="shared" si="1"/>
        <v>0</v>
      </c>
    </row>
    <row r="373" ht="22.5" customHeight="1">
      <c r="A373" s="30"/>
      <c r="B373" s="31"/>
      <c r="C373" s="31"/>
      <c r="D373" s="32"/>
      <c r="E373" s="15">
        <f t="shared" si="1"/>
        <v>0</v>
      </c>
    </row>
    <row r="374" ht="22.5" customHeight="1">
      <c r="A374" s="30"/>
      <c r="B374" s="31"/>
      <c r="C374" s="31"/>
      <c r="D374" s="32"/>
      <c r="E374" s="15">
        <f t="shared" si="1"/>
        <v>0</v>
      </c>
    </row>
    <row r="375" ht="22.5" customHeight="1">
      <c r="A375" s="30"/>
      <c r="B375" s="31"/>
      <c r="C375" s="31"/>
      <c r="D375" s="32"/>
      <c r="E375" s="15">
        <f t="shared" si="1"/>
        <v>0</v>
      </c>
    </row>
    <row r="376" ht="22.5" customHeight="1">
      <c r="A376" s="30"/>
      <c r="B376" s="31"/>
      <c r="C376" s="31"/>
      <c r="D376" s="32"/>
      <c r="E376" s="15">
        <f t="shared" si="1"/>
        <v>0</v>
      </c>
    </row>
    <row r="377" ht="22.5" customHeight="1">
      <c r="A377" s="30"/>
      <c r="B377" s="31"/>
      <c r="C377" s="31"/>
      <c r="D377" s="32"/>
      <c r="E377" s="15">
        <f t="shared" si="1"/>
        <v>0</v>
      </c>
    </row>
    <row r="378" ht="22.5" customHeight="1">
      <c r="A378" s="30"/>
      <c r="B378" s="31"/>
      <c r="C378" s="31"/>
      <c r="D378" s="32"/>
      <c r="E378" s="15">
        <f t="shared" si="1"/>
        <v>0</v>
      </c>
    </row>
    <row r="379" ht="22.5" customHeight="1">
      <c r="A379" s="30"/>
      <c r="B379" s="31"/>
      <c r="C379" s="31"/>
      <c r="D379" s="32"/>
      <c r="E379" s="15">
        <f t="shared" si="1"/>
        <v>0</v>
      </c>
    </row>
    <row r="380" ht="22.5" customHeight="1">
      <c r="A380" s="30"/>
      <c r="B380" s="31"/>
      <c r="C380" s="31"/>
      <c r="D380" s="32"/>
      <c r="E380" s="15">
        <f t="shared" si="1"/>
        <v>0</v>
      </c>
    </row>
    <row r="381" ht="22.5" customHeight="1">
      <c r="A381" s="30"/>
      <c r="B381" s="31"/>
      <c r="C381" s="31"/>
      <c r="D381" s="32"/>
      <c r="E381" s="15">
        <f t="shared" si="1"/>
        <v>0</v>
      </c>
    </row>
    <row r="382" ht="22.5" customHeight="1">
      <c r="A382" s="30"/>
      <c r="B382" s="31"/>
      <c r="C382" s="31"/>
      <c r="D382" s="32"/>
      <c r="E382" s="15">
        <f t="shared" si="1"/>
        <v>0</v>
      </c>
    </row>
    <row r="383" ht="22.5" customHeight="1">
      <c r="A383" s="30"/>
      <c r="B383" s="31"/>
      <c r="C383" s="31"/>
      <c r="D383" s="32"/>
      <c r="E383" s="15">
        <f t="shared" si="1"/>
        <v>0</v>
      </c>
    </row>
    <row r="384" ht="22.5" customHeight="1">
      <c r="A384" s="30"/>
      <c r="B384" s="31"/>
      <c r="C384" s="31"/>
      <c r="D384" s="32"/>
      <c r="E384" s="15">
        <f t="shared" si="1"/>
        <v>0</v>
      </c>
    </row>
    <row r="385" ht="22.5" customHeight="1">
      <c r="A385" s="30"/>
      <c r="B385" s="31"/>
      <c r="C385" s="31"/>
      <c r="D385" s="32"/>
      <c r="E385" s="15">
        <f t="shared" si="1"/>
        <v>0</v>
      </c>
    </row>
    <row r="386" ht="22.5" customHeight="1">
      <c r="A386" s="30"/>
      <c r="B386" s="31"/>
      <c r="C386" s="31"/>
      <c r="D386" s="32"/>
      <c r="E386" s="15">
        <f t="shared" si="1"/>
        <v>0</v>
      </c>
    </row>
    <row r="387" ht="22.5" customHeight="1">
      <c r="A387" s="30"/>
      <c r="B387" s="31"/>
      <c r="C387" s="31"/>
      <c r="D387" s="32"/>
      <c r="E387" s="15">
        <f t="shared" si="1"/>
        <v>0</v>
      </c>
    </row>
    <row r="388" ht="22.5" customHeight="1">
      <c r="A388" s="30"/>
      <c r="B388" s="31"/>
      <c r="C388" s="31"/>
      <c r="D388" s="32"/>
      <c r="E388" s="15">
        <f t="shared" si="1"/>
        <v>0</v>
      </c>
    </row>
    <row r="389" ht="22.5" customHeight="1">
      <c r="A389" s="30"/>
      <c r="B389" s="31"/>
      <c r="C389" s="31"/>
      <c r="D389" s="32"/>
      <c r="E389" s="15">
        <f t="shared" si="1"/>
        <v>0</v>
      </c>
    </row>
    <row r="390" ht="22.5" customHeight="1">
      <c r="A390" s="30"/>
      <c r="B390" s="31"/>
      <c r="C390" s="31"/>
      <c r="D390" s="32"/>
      <c r="E390" s="15">
        <f t="shared" si="1"/>
        <v>0</v>
      </c>
    </row>
    <row r="391" ht="22.5" customHeight="1">
      <c r="A391" s="30"/>
      <c r="B391" s="31"/>
      <c r="C391" s="31"/>
      <c r="D391" s="32"/>
      <c r="E391" s="15">
        <f t="shared" si="1"/>
        <v>0</v>
      </c>
    </row>
    <row r="392" ht="22.5" customHeight="1">
      <c r="A392" s="30"/>
      <c r="B392" s="31"/>
      <c r="C392" s="31"/>
      <c r="D392" s="32"/>
      <c r="E392" s="15">
        <f t="shared" si="1"/>
        <v>0</v>
      </c>
    </row>
    <row r="393" ht="22.5" customHeight="1">
      <c r="A393" s="30"/>
      <c r="B393" s="31"/>
      <c r="C393" s="31"/>
      <c r="D393" s="32"/>
      <c r="E393" s="15">
        <f t="shared" si="1"/>
        <v>0</v>
      </c>
    </row>
    <row r="394" ht="22.5" customHeight="1">
      <c r="A394" s="30"/>
      <c r="B394" s="31"/>
      <c r="C394" s="31"/>
      <c r="D394" s="32"/>
      <c r="E394" s="15">
        <f t="shared" si="1"/>
        <v>0</v>
      </c>
    </row>
    <row r="395" ht="22.5" customHeight="1">
      <c r="A395" s="30"/>
      <c r="B395" s="31"/>
      <c r="C395" s="31"/>
      <c r="D395" s="32"/>
      <c r="E395" s="15">
        <f t="shared" si="1"/>
        <v>0</v>
      </c>
    </row>
    <row r="396" ht="22.5" customHeight="1">
      <c r="A396" s="30"/>
      <c r="B396" s="31"/>
      <c r="C396" s="31"/>
      <c r="D396" s="32"/>
      <c r="E396" s="15">
        <f t="shared" si="1"/>
        <v>0</v>
      </c>
    </row>
    <row r="397" ht="22.5" customHeight="1">
      <c r="A397" s="30"/>
      <c r="B397" s="31"/>
      <c r="C397" s="31"/>
      <c r="D397" s="32"/>
      <c r="E397" s="15">
        <f t="shared" si="1"/>
        <v>0</v>
      </c>
    </row>
    <row r="398" ht="22.5" customHeight="1">
      <c r="A398" s="30"/>
      <c r="B398" s="31"/>
      <c r="C398" s="31"/>
      <c r="D398" s="32"/>
      <c r="E398" s="15">
        <f t="shared" si="1"/>
        <v>0</v>
      </c>
    </row>
    <row r="399" ht="22.5" customHeight="1">
      <c r="A399" s="30"/>
      <c r="B399" s="31"/>
      <c r="C399" s="31"/>
      <c r="D399" s="32"/>
      <c r="E399" s="15">
        <f t="shared" si="1"/>
        <v>0</v>
      </c>
    </row>
    <row r="400" ht="22.5" customHeight="1">
      <c r="A400" s="30"/>
      <c r="B400" s="31"/>
      <c r="C400" s="31"/>
      <c r="D400" s="32"/>
      <c r="E400" s="15">
        <f t="shared" si="1"/>
        <v>0</v>
      </c>
    </row>
    <row r="401" ht="22.5" customHeight="1">
      <c r="A401" s="30"/>
      <c r="B401" s="31"/>
      <c r="C401" s="31"/>
      <c r="D401" s="32"/>
      <c r="E401" s="15">
        <f t="shared" si="1"/>
        <v>0</v>
      </c>
    </row>
    <row r="402" ht="22.5" customHeight="1">
      <c r="A402" s="30"/>
      <c r="B402" s="31"/>
      <c r="C402" s="31"/>
      <c r="D402" s="32"/>
      <c r="E402" s="15">
        <f t="shared" si="1"/>
        <v>0</v>
      </c>
    </row>
    <row r="403" ht="22.5" customHeight="1">
      <c r="A403" s="30"/>
      <c r="B403" s="31"/>
      <c r="C403" s="31"/>
      <c r="D403" s="32"/>
      <c r="E403" s="15">
        <f t="shared" si="1"/>
        <v>0</v>
      </c>
    </row>
    <row r="404" ht="22.5" customHeight="1">
      <c r="A404" s="30"/>
      <c r="B404" s="31"/>
      <c r="C404" s="31"/>
      <c r="D404" s="32"/>
      <c r="E404" s="15">
        <f t="shared" si="1"/>
        <v>0</v>
      </c>
    </row>
    <row r="405" ht="22.5" customHeight="1">
      <c r="A405" s="30"/>
      <c r="B405" s="31"/>
      <c r="C405" s="31"/>
      <c r="D405" s="32"/>
      <c r="E405" s="15">
        <f t="shared" si="1"/>
        <v>0</v>
      </c>
    </row>
    <row r="406" ht="22.5" customHeight="1">
      <c r="A406" s="30"/>
      <c r="B406" s="31"/>
      <c r="C406" s="31"/>
      <c r="D406" s="32"/>
      <c r="E406" s="15">
        <f t="shared" si="1"/>
        <v>0</v>
      </c>
    </row>
    <row r="407" ht="22.5" customHeight="1">
      <c r="A407" s="30"/>
      <c r="B407" s="31"/>
      <c r="C407" s="31"/>
      <c r="D407" s="32"/>
      <c r="E407" s="15">
        <f t="shared" si="1"/>
        <v>0</v>
      </c>
    </row>
    <row r="408" ht="22.5" customHeight="1">
      <c r="A408" s="30"/>
      <c r="B408" s="31"/>
      <c r="C408" s="31"/>
      <c r="D408" s="32"/>
      <c r="E408" s="15">
        <f t="shared" si="1"/>
        <v>0</v>
      </c>
    </row>
    <row r="409" ht="22.5" customHeight="1">
      <c r="A409" s="30"/>
      <c r="B409" s="31"/>
      <c r="C409" s="31"/>
      <c r="D409" s="32"/>
      <c r="E409" s="15">
        <f t="shared" si="1"/>
        <v>0</v>
      </c>
    </row>
    <row r="410" ht="22.5" customHeight="1">
      <c r="A410" s="30"/>
      <c r="B410" s="31"/>
      <c r="C410" s="31"/>
      <c r="D410" s="32"/>
      <c r="E410" s="15">
        <f t="shared" si="1"/>
        <v>0</v>
      </c>
    </row>
    <row r="411" ht="22.5" customHeight="1">
      <c r="A411" s="30"/>
      <c r="B411" s="31"/>
      <c r="C411" s="31"/>
      <c r="D411" s="32"/>
      <c r="E411" s="15">
        <f t="shared" si="1"/>
        <v>0</v>
      </c>
    </row>
    <row r="412" ht="22.5" customHeight="1">
      <c r="A412" s="30"/>
      <c r="B412" s="31"/>
      <c r="C412" s="31"/>
      <c r="D412" s="32"/>
      <c r="E412" s="15">
        <f t="shared" si="1"/>
        <v>0</v>
      </c>
    </row>
    <row r="413" ht="22.5" customHeight="1">
      <c r="A413" s="30"/>
      <c r="B413" s="31"/>
      <c r="C413" s="31"/>
      <c r="D413" s="32"/>
      <c r="E413" s="15">
        <f t="shared" si="1"/>
        <v>0</v>
      </c>
    </row>
    <row r="414" ht="22.5" customHeight="1">
      <c r="A414" s="30"/>
      <c r="B414" s="31"/>
      <c r="C414" s="31"/>
      <c r="D414" s="32"/>
      <c r="E414" s="15">
        <f t="shared" si="1"/>
        <v>0</v>
      </c>
    </row>
    <row r="415" ht="22.5" customHeight="1">
      <c r="A415" s="30"/>
      <c r="B415" s="31"/>
      <c r="C415" s="31"/>
      <c r="D415" s="32"/>
      <c r="E415" s="15">
        <f t="shared" si="1"/>
        <v>0</v>
      </c>
    </row>
    <row r="416" ht="22.5" customHeight="1">
      <c r="A416" s="30"/>
      <c r="B416" s="31"/>
      <c r="C416" s="31"/>
      <c r="D416" s="32"/>
      <c r="E416" s="15">
        <f t="shared" si="1"/>
        <v>0</v>
      </c>
    </row>
    <row r="417" ht="22.5" customHeight="1">
      <c r="A417" s="30"/>
      <c r="B417" s="31"/>
      <c r="C417" s="31"/>
      <c r="D417" s="32"/>
      <c r="E417" s="15">
        <f t="shared" si="1"/>
        <v>0</v>
      </c>
    </row>
    <row r="418" ht="22.5" customHeight="1">
      <c r="A418" s="30"/>
      <c r="B418" s="31"/>
      <c r="C418" s="31"/>
      <c r="D418" s="32"/>
      <c r="E418" s="15">
        <f t="shared" si="1"/>
        <v>0</v>
      </c>
    </row>
    <row r="419" ht="22.5" customHeight="1">
      <c r="A419" s="30"/>
      <c r="B419" s="31"/>
      <c r="C419" s="31"/>
      <c r="D419" s="32"/>
      <c r="E419" s="15">
        <f t="shared" si="1"/>
        <v>0</v>
      </c>
    </row>
    <row r="420" ht="22.5" customHeight="1">
      <c r="A420" s="30"/>
      <c r="B420" s="31"/>
      <c r="C420" s="31"/>
      <c r="D420" s="32"/>
      <c r="E420" s="15">
        <f t="shared" si="1"/>
        <v>0</v>
      </c>
    </row>
    <row r="421" ht="22.5" customHeight="1">
      <c r="A421" s="30"/>
      <c r="B421" s="31"/>
      <c r="C421" s="31"/>
      <c r="D421" s="32"/>
      <c r="E421" s="15">
        <f t="shared" si="1"/>
        <v>0</v>
      </c>
    </row>
    <row r="422" ht="22.5" customHeight="1">
      <c r="A422" s="30"/>
      <c r="B422" s="31"/>
      <c r="C422" s="31"/>
      <c r="D422" s="32"/>
      <c r="E422" s="15">
        <f t="shared" si="1"/>
        <v>0</v>
      </c>
    </row>
    <row r="423" ht="22.5" customHeight="1">
      <c r="A423" s="30"/>
      <c r="B423" s="31"/>
      <c r="C423" s="31"/>
      <c r="D423" s="32"/>
      <c r="E423" s="15">
        <f t="shared" si="1"/>
        <v>0</v>
      </c>
    </row>
    <row r="424" ht="22.5" customHeight="1">
      <c r="A424" s="30"/>
      <c r="B424" s="31"/>
      <c r="C424" s="31"/>
      <c r="D424" s="32"/>
      <c r="E424" s="15">
        <f t="shared" si="1"/>
        <v>0</v>
      </c>
    </row>
    <row r="425" ht="22.5" customHeight="1">
      <c r="A425" s="30"/>
      <c r="B425" s="31"/>
      <c r="C425" s="31"/>
      <c r="D425" s="32"/>
      <c r="E425" s="15">
        <f t="shared" si="1"/>
        <v>0</v>
      </c>
    </row>
    <row r="426" ht="22.5" customHeight="1">
      <c r="A426" s="30"/>
      <c r="B426" s="31"/>
      <c r="C426" s="31"/>
      <c r="D426" s="32"/>
      <c r="E426" s="15">
        <f t="shared" si="1"/>
        <v>0</v>
      </c>
    </row>
    <row r="427" ht="22.5" customHeight="1">
      <c r="A427" s="30"/>
      <c r="B427" s="31"/>
      <c r="C427" s="31"/>
      <c r="D427" s="32"/>
      <c r="E427" s="15">
        <f t="shared" si="1"/>
        <v>0</v>
      </c>
    </row>
    <row r="428" ht="22.5" customHeight="1">
      <c r="A428" s="30"/>
      <c r="B428" s="31"/>
      <c r="C428" s="31"/>
      <c r="D428" s="32"/>
      <c r="E428" s="15">
        <f t="shared" si="1"/>
        <v>0</v>
      </c>
    </row>
    <row r="429" ht="22.5" customHeight="1">
      <c r="A429" s="30"/>
      <c r="B429" s="31"/>
      <c r="C429" s="31"/>
      <c r="D429" s="32"/>
      <c r="E429" s="15">
        <f t="shared" si="1"/>
        <v>0</v>
      </c>
    </row>
    <row r="430" ht="22.5" customHeight="1">
      <c r="A430" s="30"/>
      <c r="B430" s="31"/>
      <c r="C430" s="31"/>
      <c r="D430" s="32"/>
      <c r="E430" s="15">
        <f t="shared" si="1"/>
        <v>0</v>
      </c>
    </row>
    <row r="431" ht="22.5" customHeight="1">
      <c r="A431" s="30"/>
      <c r="B431" s="31"/>
      <c r="C431" s="31"/>
      <c r="D431" s="32"/>
      <c r="E431" s="15">
        <f t="shared" si="1"/>
        <v>0</v>
      </c>
    </row>
    <row r="432" ht="22.5" customHeight="1">
      <c r="A432" s="30"/>
      <c r="B432" s="31"/>
      <c r="C432" s="31"/>
      <c r="D432" s="32"/>
      <c r="E432" s="15">
        <f t="shared" si="1"/>
        <v>0</v>
      </c>
    </row>
    <row r="433" ht="22.5" customHeight="1">
      <c r="A433" s="30"/>
      <c r="B433" s="31"/>
      <c r="C433" s="31"/>
      <c r="D433" s="32"/>
      <c r="E433" s="15">
        <f t="shared" si="1"/>
        <v>0</v>
      </c>
    </row>
    <row r="434" ht="22.5" customHeight="1">
      <c r="A434" s="30"/>
      <c r="B434" s="31"/>
      <c r="C434" s="31"/>
      <c r="D434" s="32"/>
      <c r="E434" s="15">
        <f t="shared" si="1"/>
        <v>0</v>
      </c>
    </row>
    <row r="435" ht="22.5" customHeight="1">
      <c r="A435" s="30"/>
      <c r="B435" s="31"/>
      <c r="C435" s="31"/>
      <c r="D435" s="32"/>
      <c r="E435" s="15">
        <f t="shared" si="1"/>
        <v>0</v>
      </c>
    </row>
    <row r="436" ht="22.5" customHeight="1">
      <c r="A436" s="30"/>
      <c r="B436" s="31"/>
      <c r="C436" s="31"/>
      <c r="D436" s="32"/>
      <c r="E436" s="15">
        <f t="shared" si="1"/>
        <v>0</v>
      </c>
    </row>
    <row r="437" ht="22.5" customHeight="1">
      <c r="A437" s="30"/>
      <c r="B437" s="31"/>
      <c r="C437" s="31"/>
      <c r="D437" s="32"/>
      <c r="E437" s="15">
        <f t="shared" si="1"/>
        <v>0</v>
      </c>
    </row>
    <row r="438" ht="22.5" customHeight="1">
      <c r="A438" s="30"/>
      <c r="B438" s="31"/>
      <c r="C438" s="31"/>
      <c r="D438" s="32"/>
      <c r="E438" s="15">
        <f t="shared" si="1"/>
        <v>0</v>
      </c>
    </row>
    <row r="439" ht="22.5" customHeight="1">
      <c r="A439" s="30"/>
      <c r="B439" s="31"/>
      <c r="C439" s="31"/>
      <c r="D439" s="32"/>
      <c r="E439" s="15">
        <f t="shared" si="1"/>
        <v>0</v>
      </c>
    </row>
    <row r="440" ht="22.5" customHeight="1">
      <c r="A440" s="30"/>
      <c r="B440" s="31"/>
      <c r="C440" s="31"/>
      <c r="D440" s="32"/>
      <c r="E440" s="15">
        <f t="shared" si="1"/>
        <v>0</v>
      </c>
    </row>
    <row r="441" ht="22.5" customHeight="1">
      <c r="A441" s="30"/>
      <c r="B441" s="31"/>
      <c r="C441" s="31"/>
      <c r="D441" s="32"/>
      <c r="E441" s="15">
        <f t="shared" si="1"/>
        <v>0</v>
      </c>
    </row>
    <row r="442" ht="22.5" customHeight="1">
      <c r="A442" s="30"/>
      <c r="B442" s="31"/>
      <c r="C442" s="31"/>
      <c r="D442" s="32"/>
      <c r="E442" s="15">
        <f t="shared" si="1"/>
        <v>0</v>
      </c>
    </row>
    <row r="443" ht="22.5" customHeight="1">
      <c r="A443" s="30"/>
      <c r="B443" s="31"/>
      <c r="C443" s="31"/>
      <c r="D443" s="32"/>
      <c r="E443" s="15">
        <f t="shared" si="1"/>
        <v>0</v>
      </c>
    </row>
    <row r="444" ht="22.5" customHeight="1">
      <c r="A444" s="30"/>
      <c r="B444" s="31"/>
      <c r="C444" s="31"/>
      <c r="D444" s="32"/>
      <c r="E444" s="15">
        <f t="shared" si="1"/>
        <v>0</v>
      </c>
    </row>
    <row r="445" ht="22.5" customHeight="1">
      <c r="A445" s="30"/>
      <c r="B445" s="31"/>
      <c r="C445" s="31"/>
      <c r="D445" s="32"/>
      <c r="E445" s="15">
        <f t="shared" si="1"/>
        <v>0</v>
      </c>
    </row>
    <row r="446" ht="22.5" customHeight="1">
      <c r="A446" s="30"/>
      <c r="B446" s="31"/>
      <c r="C446" s="31"/>
      <c r="D446" s="32"/>
      <c r="E446" s="15">
        <f t="shared" si="1"/>
        <v>0</v>
      </c>
    </row>
    <row r="447" ht="22.5" customHeight="1">
      <c r="A447" s="30"/>
      <c r="B447" s="31"/>
      <c r="C447" s="31"/>
      <c r="D447" s="32"/>
      <c r="E447" s="15">
        <f t="shared" si="1"/>
        <v>0</v>
      </c>
    </row>
    <row r="448" ht="22.5" customHeight="1">
      <c r="A448" s="30"/>
      <c r="B448" s="31"/>
      <c r="C448" s="31"/>
      <c r="D448" s="32"/>
      <c r="E448" s="15">
        <f t="shared" si="1"/>
        <v>0</v>
      </c>
    </row>
    <row r="449" ht="22.5" customHeight="1">
      <c r="A449" s="30"/>
      <c r="B449" s="31"/>
      <c r="C449" s="31"/>
      <c r="D449" s="32"/>
      <c r="E449" s="15">
        <f t="shared" si="1"/>
        <v>0</v>
      </c>
    </row>
    <row r="450" ht="22.5" customHeight="1">
      <c r="A450" s="30"/>
      <c r="B450" s="31"/>
      <c r="C450" s="31"/>
      <c r="D450" s="32"/>
      <c r="E450" s="15">
        <f t="shared" si="1"/>
        <v>0</v>
      </c>
    </row>
    <row r="451" ht="22.5" customHeight="1">
      <c r="A451" s="30"/>
      <c r="B451" s="31"/>
      <c r="C451" s="31"/>
      <c r="D451" s="32"/>
      <c r="E451" s="15">
        <f t="shared" si="1"/>
        <v>0</v>
      </c>
    </row>
    <row r="452" ht="22.5" customHeight="1">
      <c r="A452" s="30"/>
      <c r="B452" s="31"/>
      <c r="C452" s="31"/>
      <c r="D452" s="32"/>
      <c r="E452" s="15">
        <f t="shared" si="1"/>
        <v>0</v>
      </c>
    </row>
    <row r="453" ht="22.5" customHeight="1">
      <c r="A453" s="30"/>
      <c r="B453" s="31"/>
      <c r="C453" s="31"/>
      <c r="D453" s="32"/>
      <c r="E453" s="15">
        <f t="shared" si="1"/>
        <v>0</v>
      </c>
    </row>
    <row r="454" ht="22.5" customHeight="1">
      <c r="A454" s="30"/>
      <c r="B454" s="31"/>
      <c r="C454" s="31"/>
      <c r="D454" s="32"/>
      <c r="E454" s="15">
        <f t="shared" si="1"/>
        <v>0</v>
      </c>
    </row>
    <row r="455" ht="22.5" customHeight="1">
      <c r="A455" s="30"/>
      <c r="B455" s="31"/>
      <c r="C455" s="31"/>
      <c r="D455" s="32"/>
      <c r="E455" s="15">
        <f t="shared" si="1"/>
        <v>0</v>
      </c>
    </row>
    <row r="456" ht="22.5" customHeight="1">
      <c r="A456" s="30"/>
      <c r="B456" s="31"/>
      <c r="C456" s="31"/>
      <c r="D456" s="32"/>
      <c r="E456" s="15">
        <f t="shared" si="1"/>
        <v>0</v>
      </c>
    </row>
    <row r="457" ht="22.5" customHeight="1">
      <c r="A457" s="30"/>
      <c r="B457" s="31"/>
      <c r="C457" s="31"/>
      <c r="D457" s="32"/>
      <c r="E457" s="15">
        <f t="shared" si="1"/>
        <v>0</v>
      </c>
    </row>
    <row r="458" ht="22.5" customHeight="1">
      <c r="A458" s="30"/>
      <c r="B458" s="31"/>
      <c r="C458" s="31"/>
      <c r="D458" s="32"/>
      <c r="E458" s="15">
        <f t="shared" si="1"/>
        <v>0</v>
      </c>
    </row>
    <row r="459" ht="22.5" customHeight="1">
      <c r="A459" s="30"/>
      <c r="B459" s="31"/>
      <c r="C459" s="31"/>
      <c r="D459" s="32"/>
      <c r="E459" s="15">
        <f t="shared" si="1"/>
        <v>0</v>
      </c>
    </row>
    <row r="460" ht="22.5" customHeight="1">
      <c r="A460" s="30"/>
      <c r="B460" s="31"/>
      <c r="C460" s="31"/>
      <c r="D460" s="32"/>
      <c r="E460" s="15">
        <f t="shared" si="1"/>
        <v>0</v>
      </c>
    </row>
    <row r="461" ht="22.5" customHeight="1">
      <c r="A461" s="30"/>
      <c r="B461" s="31"/>
      <c r="C461" s="31"/>
      <c r="D461" s="32"/>
      <c r="E461" s="15">
        <f t="shared" si="1"/>
        <v>0</v>
      </c>
    </row>
    <row r="462" ht="22.5" customHeight="1">
      <c r="A462" s="30"/>
      <c r="B462" s="31"/>
      <c r="C462" s="31"/>
      <c r="D462" s="32"/>
      <c r="E462" s="15">
        <f t="shared" si="1"/>
        <v>0</v>
      </c>
    </row>
    <row r="463" ht="22.5" customHeight="1">
      <c r="A463" s="30"/>
      <c r="B463" s="31"/>
      <c r="C463" s="31"/>
      <c r="D463" s="32"/>
      <c r="E463" s="15">
        <f t="shared" si="1"/>
        <v>0</v>
      </c>
    </row>
    <row r="464" ht="22.5" customHeight="1">
      <c r="A464" s="30"/>
      <c r="B464" s="31"/>
      <c r="C464" s="31"/>
      <c r="D464" s="32"/>
      <c r="E464" s="15">
        <f t="shared" si="1"/>
        <v>0</v>
      </c>
    </row>
    <row r="465" ht="22.5" customHeight="1">
      <c r="A465" s="30"/>
      <c r="B465" s="31"/>
      <c r="C465" s="31"/>
      <c r="D465" s="32"/>
      <c r="E465" s="15">
        <f t="shared" si="1"/>
        <v>0</v>
      </c>
    </row>
    <row r="466" ht="22.5" customHeight="1">
      <c r="A466" s="30"/>
      <c r="B466" s="31"/>
      <c r="C466" s="31"/>
      <c r="D466" s="32"/>
      <c r="E466" s="15">
        <f t="shared" si="1"/>
        <v>0</v>
      </c>
    </row>
    <row r="467" ht="22.5" customHeight="1">
      <c r="A467" s="30"/>
      <c r="B467" s="31"/>
      <c r="C467" s="31"/>
      <c r="D467" s="32"/>
      <c r="E467" s="15">
        <f t="shared" si="1"/>
        <v>0</v>
      </c>
    </row>
    <row r="468" ht="22.5" customHeight="1">
      <c r="A468" s="30"/>
      <c r="B468" s="31"/>
      <c r="C468" s="31"/>
      <c r="D468" s="32"/>
      <c r="E468" s="15">
        <f t="shared" si="1"/>
        <v>0</v>
      </c>
    </row>
    <row r="469" ht="22.5" customHeight="1">
      <c r="A469" s="30"/>
      <c r="B469" s="31"/>
      <c r="C469" s="31"/>
      <c r="D469" s="32"/>
      <c r="E469" s="15">
        <f t="shared" si="1"/>
        <v>0</v>
      </c>
    </row>
    <row r="470" ht="22.5" customHeight="1">
      <c r="A470" s="30"/>
      <c r="B470" s="31"/>
      <c r="C470" s="31"/>
      <c r="D470" s="32"/>
      <c r="E470" s="15">
        <f t="shared" si="1"/>
        <v>0</v>
      </c>
    </row>
    <row r="471" ht="22.5" customHeight="1">
      <c r="A471" s="30"/>
      <c r="B471" s="31"/>
      <c r="C471" s="31"/>
      <c r="D471" s="32"/>
      <c r="E471" s="15">
        <f t="shared" si="1"/>
        <v>0</v>
      </c>
    </row>
    <row r="472" ht="22.5" customHeight="1">
      <c r="A472" s="30"/>
      <c r="B472" s="31"/>
      <c r="C472" s="31"/>
      <c r="D472" s="32"/>
      <c r="E472" s="15">
        <f t="shared" si="1"/>
        <v>0</v>
      </c>
    </row>
    <row r="473" ht="22.5" customHeight="1">
      <c r="A473" s="30"/>
      <c r="B473" s="31"/>
      <c r="C473" s="31"/>
      <c r="D473" s="32"/>
      <c r="E473" s="15">
        <f t="shared" si="1"/>
        <v>0</v>
      </c>
    </row>
    <row r="474" ht="22.5" customHeight="1">
      <c r="A474" s="30"/>
      <c r="B474" s="31"/>
      <c r="C474" s="31"/>
      <c r="D474" s="32"/>
      <c r="E474" s="15">
        <f t="shared" si="1"/>
        <v>0</v>
      </c>
    </row>
    <row r="475" ht="22.5" customHeight="1">
      <c r="A475" s="30"/>
      <c r="B475" s="31"/>
      <c r="C475" s="31"/>
      <c r="D475" s="32"/>
      <c r="E475" s="15">
        <f t="shared" si="1"/>
        <v>0</v>
      </c>
    </row>
    <row r="476" ht="22.5" customHeight="1">
      <c r="A476" s="30"/>
      <c r="B476" s="31"/>
      <c r="C476" s="31"/>
      <c r="D476" s="32"/>
      <c r="E476" s="15">
        <f t="shared" si="1"/>
        <v>0</v>
      </c>
    </row>
    <row r="477" ht="22.5" customHeight="1">
      <c r="A477" s="30"/>
      <c r="B477" s="31"/>
      <c r="C477" s="31"/>
      <c r="D477" s="32"/>
      <c r="E477" s="15">
        <f t="shared" si="1"/>
        <v>0</v>
      </c>
    </row>
    <row r="478" ht="22.5" customHeight="1">
      <c r="A478" s="30"/>
      <c r="B478" s="31"/>
      <c r="C478" s="31"/>
      <c r="D478" s="32"/>
      <c r="E478" s="15">
        <f t="shared" si="1"/>
        <v>0</v>
      </c>
    </row>
    <row r="479" ht="22.5" customHeight="1">
      <c r="A479" s="30"/>
      <c r="B479" s="31"/>
      <c r="C479" s="31"/>
      <c r="D479" s="32"/>
      <c r="E479" s="15">
        <f t="shared" si="1"/>
        <v>0</v>
      </c>
    </row>
    <row r="480" ht="22.5" customHeight="1">
      <c r="A480" s="30"/>
      <c r="B480" s="31"/>
      <c r="C480" s="31"/>
      <c r="D480" s="32"/>
      <c r="E480" s="15">
        <f t="shared" si="1"/>
        <v>0</v>
      </c>
    </row>
    <row r="481" ht="22.5" customHeight="1">
      <c r="A481" s="30"/>
      <c r="B481" s="31"/>
      <c r="C481" s="31"/>
      <c r="D481" s="32"/>
      <c r="E481" s="15">
        <f t="shared" si="1"/>
        <v>0</v>
      </c>
    </row>
    <row r="482" ht="22.5" customHeight="1">
      <c r="A482" s="30"/>
      <c r="B482" s="31"/>
      <c r="C482" s="31"/>
      <c r="D482" s="32"/>
      <c r="E482" s="15">
        <f t="shared" si="1"/>
        <v>0</v>
      </c>
    </row>
    <row r="483" ht="22.5" customHeight="1">
      <c r="A483" s="30"/>
      <c r="B483" s="31"/>
      <c r="C483" s="31"/>
      <c r="D483" s="32"/>
      <c r="E483" s="15">
        <f t="shared" si="1"/>
        <v>0</v>
      </c>
    </row>
    <row r="484" ht="22.5" customHeight="1">
      <c r="A484" s="30"/>
      <c r="B484" s="31"/>
      <c r="C484" s="31"/>
      <c r="D484" s="32"/>
      <c r="E484" s="15">
        <f t="shared" si="1"/>
        <v>0</v>
      </c>
    </row>
    <row r="485" ht="22.5" customHeight="1">
      <c r="A485" s="30"/>
      <c r="B485" s="31"/>
      <c r="C485" s="31"/>
      <c r="D485" s="32"/>
      <c r="E485" s="15">
        <f t="shared" si="1"/>
        <v>0</v>
      </c>
    </row>
    <row r="486" ht="22.5" customHeight="1">
      <c r="A486" s="30"/>
      <c r="B486" s="31"/>
      <c r="C486" s="31"/>
      <c r="D486" s="32"/>
      <c r="E486" s="15">
        <f t="shared" si="1"/>
        <v>0</v>
      </c>
    </row>
    <row r="487" ht="22.5" customHeight="1">
      <c r="A487" s="30"/>
      <c r="B487" s="31"/>
      <c r="C487" s="31"/>
      <c r="D487" s="32"/>
      <c r="E487" s="15">
        <f t="shared" si="1"/>
        <v>0</v>
      </c>
    </row>
    <row r="488" ht="22.5" customHeight="1">
      <c r="A488" s="30"/>
      <c r="B488" s="31"/>
      <c r="C488" s="31"/>
      <c r="D488" s="32"/>
      <c r="E488" s="15">
        <f t="shared" si="1"/>
        <v>0</v>
      </c>
    </row>
    <row r="489" ht="22.5" customHeight="1">
      <c r="A489" s="30"/>
      <c r="B489" s="31"/>
      <c r="C489" s="31"/>
      <c r="D489" s="32"/>
      <c r="E489" s="15">
        <f t="shared" si="1"/>
        <v>0</v>
      </c>
    </row>
    <row r="490" ht="22.5" customHeight="1">
      <c r="A490" s="30"/>
      <c r="B490" s="31"/>
      <c r="C490" s="31"/>
      <c r="D490" s="32"/>
      <c r="E490" s="15">
        <f t="shared" si="1"/>
        <v>0</v>
      </c>
    </row>
    <row r="491" ht="22.5" customHeight="1">
      <c r="A491" s="30"/>
      <c r="B491" s="31"/>
      <c r="C491" s="31"/>
      <c r="D491" s="32"/>
      <c r="E491" s="15">
        <f t="shared" si="1"/>
        <v>0</v>
      </c>
    </row>
    <row r="492" ht="22.5" customHeight="1">
      <c r="A492" s="30"/>
      <c r="B492" s="31"/>
      <c r="C492" s="31"/>
      <c r="D492" s="32"/>
      <c r="E492" s="15">
        <f t="shared" si="1"/>
        <v>0</v>
      </c>
    </row>
    <row r="493" ht="22.5" customHeight="1">
      <c r="A493" s="30"/>
      <c r="B493" s="31"/>
      <c r="C493" s="31"/>
      <c r="D493" s="32"/>
      <c r="E493" s="15">
        <f t="shared" si="1"/>
        <v>0</v>
      </c>
    </row>
    <row r="494" ht="22.5" customHeight="1">
      <c r="A494" s="30"/>
      <c r="B494" s="31"/>
      <c r="C494" s="31"/>
      <c r="D494" s="32"/>
      <c r="E494" s="15">
        <f t="shared" si="1"/>
        <v>0</v>
      </c>
    </row>
    <row r="495" ht="22.5" customHeight="1">
      <c r="A495" s="30"/>
      <c r="B495" s="31"/>
      <c r="C495" s="31"/>
      <c r="D495" s="32"/>
      <c r="E495" s="15">
        <f t="shared" si="1"/>
        <v>0</v>
      </c>
    </row>
    <row r="496" ht="22.5" customHeight="1">
      <c r="A496" s="30"/>
      <c r="B496" s="31"/>
      <c r="C496" s="31"/>
      <c r="D496" s="32"/>
      <c r="E496" s="15">
        <f t="shared" si="1"/>
        <v>0</v>
      </c>
    </row>
    <row r="497" ht="22.5" customHeight="1">
      <c r="A497" s="30"/>
      <c r="B497" s="31"/>
      <c r="C497" s="31"/>
      <c r="D497" s="32"/>
      <c r="E497" s="15">
        <f t="shared" si="1"/>
        <v>0</v>
      </c>
    </row>
    <row r="498" ht="22.5" customHeight="1">
      <c r="A498" s="30"/>
      <c r="B498" s="31"/>
      <c r="C498" s="31"/>
      <c r="D498" s="32"/>
      <c r="E498" s="15">
        <f t="shared" si="1"/>
        <v>0</v>
      </c>
    </row>
    <row r="499" ht="22.5" customHeight="1">
      <c r="A499" s="30"/>
      <c r="B499" s="31"/>
      <c r="C499" s="31"/>
      <c r="D499" s="32"/>
      <c r="E499" s="15">
        <f t="shared" si="1"/>
        <v>0</v>
      </c>
    </row>
    <row r="500" ht="22.5" customHeight="1">
      <c r="A500" s="30"/>
      <c r="B500" s="31"/>
      <c r="C500" s="31"/>
      <c r="D500" s="32"/>
      <c r="E500" s="15">
        <f t="shared" si="1"/>
        <v>0</v>
      </c>
    </row>
    <row r="501" ht="22.5" customHeight="1">
      <c r="A501" s="30"/>
      <c r="B501" s="31"/>
      <c r="C501" s="31"/>
      <c r="D501" s="32"/>
      <c r="E501" s="15">
        <f t="shared" si="1"/>
        <v>0</v>
      </c>
    </row>
    <row r="502" ht="22.5" customHeight="1">
      <c r="A502" s="30"/>
      <c r="B502" s="31"/>
      <c r="C502" s="31"/>
      <c r="D502" s="32"/>
      <c r="E502" s="15">
        <f t="shared" si="1"/>
        <v>0</v>
      </c>
    </row>
    <row r="503" ht="22.5" customHeight="1">
      <c r="A503" s="30"/>
      <c r="B503" s="31"/>
      <c r="C503" s="31"/>
      <c r="D503" s="32"/>
      <c r="E503" s="15">
        <f t="shared" si="1"/>
        <v>0</v>
      </c>
    </row>
    <row r="504" ht="22.5" customHeight="1">
      <c r="A504" s="30"/>
      <c r="B504" s="31"/>
      <c r="C504" s="31"/>
      <c r="D504" s="32"/>
      <c r="E504" s="15">
        <f t="shared" si="1"/>
        <v>0</v>
      </c>
    </row>
    <row r="505" ht="22.5" customHeight="1">
      <c r="A505" s="30"/>
      <c r="B505" s="31"/>
      <c r="C505" s="31"/>
      <c r="D505" s="32"/>
      <c r="E505" s="15">
        <f t="shared" si="1"/>
        <v>0</v>
      </c>
    </row>
    <row r="506" ht="22.5" customHeight="1">
      <c r="A506" s="30"/>
      <c r="B506" s="31"/>
      <c r="C506" s="31"/>
      <c r="D506" s="32"/>
      <c r="E506" s="15">
        <f t="shared" si="1"/>
        <v>0</v>
      </c>
    </row>
    <row r="507" ht="22.5" customHeight="1">
      <c r="A507" s="30"/>
      <c r="B507" s="31"/>
      <c r="C507" s="31"/>
      <c r="D507" s="32"/>
      <c r="E507" s="15">
        <f t="shared" si="1"/>
        <v>0</v>
      </c>
    </row>
    <row r="508" ht="22.5" customHeight="1">
      <c r="A508" s="30"/>
      <c r="B508" s="31"/>
      <c r="C508" s="31"/>
      <c r="D508" s="32"/>
      <c r="E508" s="15">
        <f t="shared" si="1"/>
        <v>0</v>
      </c>
    </row>
    <row r="509" ht="22.5" customHeight="1">
      <c r="A509" s="30"/>
      <c r="B509" s="31"/>
      <c r="C509" s="31"/>
      <c r="D509" s="32"/>
      <c r="E509" s="15">
        <f t="shared" si="1"/>
        <v>0</v>
      </c>
    </row>
    <row r="510" ht="22.5" customHeight="1">
      <c r="A510" s="30"/>
      <c r="B510" s="31"/>
      <c r="C510" s="31"/>
      <c r="D510" s="32"/>
      <c r="E510" s="15">
        <f t="shared" si="1"/>
        <v>0</v>
      </c>
    </row>
    <row r="511" ht="22.5" customHeight="1">
      <c r="A511" s="30"/>
      <c r="B511" s="31"/>
      <c r="C511" s="31"/>
      <c r="D511" s="32"/>
      <c r="E511" s="15">
        <f t="shared" si="1"/>
        <v>0</v>
      </c>
    </row>
    <row r="512" ht="22.5" customHeight="1">
      <c r="A512" s="30"/>
      <c r="B512" s="31"/>
      <c r="C512" s="31"/>
      <c r="D512" s="32"/>
      <c r="E512" s="15">
        <f t="shared" si="1"/>
        <v>0</v>
      </c>
    </row>
    <row r="513" ht="22.5" customHeight="1">
      <c r="A513" s="30"/>
      <c r="B513" s="31"/>
      <c r="C513" s="31"/>
      <c r="D513" s="32"/>
      <c r="E513" s="15">
        <f t="shared" si="1"/>
        <v>0</v>
      </c>
    </row>
    <row r="514" ht="22.5" customHeight="1">
      <c r="A514" s="30"/>
      <c r="B514" s="31"/>
      <c r="C514" s="31"/>
      <c r="D514" s="32"/>
      <c r="E514" s="15">
        <f t="shared" si="1"/>
        <v>0</v>
      </c>
    </row>
    <row r="515" ht="22.5" customHeight="1">
      <c r="A515" s="30"/>
      <c r="B515" s="31"/>
      <c r="C515" s="31"/>
      <c r="D515" s="32"/>
      <c r="E515" s="15">
        <f t="shared" si="1"/>
        <v>0</v>
      </c>
    </row>
    <row r="516" ht="22.5" customHeight="1">
      <c r="A516" s="30"/>
      <c r="B516" s="31"/>
      <c r="C516" s="31"/>
      <c r="D516" s="32"/>
      <c r="E516" s="15">
        <f t="shared" si="1"/>
        <v>0</v>
      </c>
    </row>
    <row r="517" ht="22.5" customHeight="1">
      <c r="A517" s="30"/>
      <c r="B517" s="31"/>
      <c r="C517" s="31"/>
      <c r="D517" s="32"/>
      <c r="E517" s="15">
        <f t="shared" si="1"/>
        <v>0</v>
      </c>
    </row>
    <row r="518" ht="22.5" customHeight="1">
      <c r="A518" s="30"/>
      <c r="B518" s="31"/>
      <c r="C518" s="31"/>
      <c r="D518" s="32"/>
      <c r="E518" s="15">
        <f t="shared" si="1"/>
        <v>0</v>
      </c>
    </row>
    <row r="519" ht="22.5" customHeight="1">
      <c r="A519" s="30"/>
      <c r="B519" s="31"/>
      <c r="C519" s="31"/>
      <c r="D519" s="32"/>
      <c r="E519" s="15">
        <f t="shared" si="1"/>
        <v>0</v>
      </c>
    </row>
    <row r="520" ht="22.5" customHeight="1">
      <c r="A520" s="30"/>
      <c r="B520" s="31"/>
      <c r="C520" s="31"/>
      <c r="D520" s="32"/>
      <c r="E520" s="15">
        <f t="shared" si="1"/>
        <v>0</v>
      </c>
    </row>
    <row r="521" ht="22.5" customHeight="1">
      <c r="A521" s="30"/>
      <c r="B521" s="31"/>
      <c r="C521" s="31"/>
      <c r="D521" s="32"/>
      <c r="E521" s="15">
        <f t="shared" si="1"/>
        <v>0</v>
      </c>
    </row>
    <row r="522" ht="22.5" customHeight="1">
      <c r="A522" s="30"/>
      <c r="B522" s="31"/>
      <c r="C522" s="31"/>
      <c r="D522" s="32"/>
      <c r="E522" s="15">
        <f t="shared" si="1"/>
        <v>0</v>
      </c>
    </row>
    <row r="523" ht="22.5" customHeight="1">
      <c r="A523" s="30"/>
      <c r="B523" s="31"/>
      <c r="C523" s="31"/>
      <c r="D523" s="32"/>
      <c r="E523" s="15">
        <f t="shared" si="1"/>
        <v>0</v>
      </c>
    </row>
    <row r="524" ht="22.5" customHeight="1">
      <c r="A524" s="30"/>
      <c r="B524" s="31"/>
      <c r="C524" s="31"/>
      <c r="D524" s="32"/>
      <c r="E524" s="15">
        <f t="shared" si="1"/>
        <v>0</v>
      </c>
    </row>
    <row r="525" ht="22.5" customHeight="1">
      <c r="A525" s="30"/>
      <c r="B525" s="31"/>
      <c r="C525" s="31"/>
      <c r="D525" s="32"/>
      <c r="E525" s="15">
        <f t="shared" si="1"/>
        <v>0</v>
      </c>
    </row>
    <row r="526" ht="22.5" customHeight="1">
      <c r="A526" s="30"/>
      <c r="B526" s="31"/>
      <c r="C526" s="31"/>
      <c r="D526" s="32"/>
      <c r="E526" s="15">
        <f t="shared" si="1"/>
        <v>0</v>
      </c>
    </row>
    <row r="527" ht="22.5" customHeight="1">
      <c r="A527" s="30"/>
      <c r="B527" s="31"/>
      <c r="C527" s="31"/>
      <c r="D527" s="32"/>
      <c r="E527" s="15">
        <f t="shared" si="1"/>
        <v>0</v>
      </c>
    </row>
    <row r="528" ht="22.5" customHeight="1">
      <c r="A528" s="30"/>
      <c r="B528" s="31"/>
      <c r="C528" s="31"/>
      <c r="D528" s="32"/>
      <c r="E528" s="15">
        <f t="shared" si="1"/>
        <v>0</v>
      </c>
    </row>
    <row r="529" ht="22.5" customHeight="1">
      <c r="A529" s="30"/>
      <c r="B529" s="31"/>
      <c r="C529" s="31"/>
      <c r="D529" s="32"/>
      <c r="E529" s="15">
        <f t="shared" si="1"/>
        <v>0</v>
      </c>
    </row>
    <row r="530" ht="22.5" customHeight="1">
      <c r="A530" s="30"/>
      <c r="B530" s="31"/>
      <c r="C530" s="31"/>
      <c r="D530" s="32"/>
      <c r="E530" s="15">
        <f t="shared" si="1"/>
        <v>0</v>
      </c>
    </row>
    <row r="531" ht="22.5" customHeight="1">
      <c r="A531" s="30"/>
      <c r="B531" s="31"/>
      <c r="C531" s="31"/>
      <c r="D531" s="32"/>
      <c r="E531" s="15">
        <f t="shared" si="1"/>
        <v>0</v>
      </c>
    </row>
    <row r="532" ht="22.5" customHeight="1">
      <c r="A532" s="30"/>
      <c r="B532" s="31"/>
      <c r="C532" s="31"/>
      <c r="D532" s="32"/>
      <c r="E532" s="15">
        <f t="shared" si="1"/>
        <v>0</v>
      </c>
    </row>
    <row r="533" ht="22.5" customHeight="1">
      <c r="A533" s="30"/>
      <c r="B533" s="31"/>
      <c r="C533" s="31"/>
      <c r="D533" s="32"/>
      <c r="E533" s="15">
        <f t="shared" si="1"/>
        <v>0</v>
      </c>
    </row>
    <row r="534" ht="22.5" customHeight="1">
      <c r="A534" s="30"/>
      <c r="B534" s="31"/>
      <c r="C534" s="31"/>
      <c r="D534" s="32"/>
      <c r="E534" s="15">
        <f t="shared" si="1"/>
        <v>0</v>
      </c>
    </row>
    <row r="535" ht="22.5" customHeight="1">
      <c r="A535" s="30"/>
      <c r="B535" s="31"/>
      <c r="C535" s="31"/>
      <c r="D535" s="32"/>
      <c r="E535" s="15">
        <f t="shared" si="1"/>
        <v>0</v>
      </c>
    </row>
    <row r="536" ht="22.5" customHeight="1">
      <c r="A536" s="30"/>
      <c r="B536" s="31"/>
      <c r="C536" s="31"/>
      <c r="D536" s="32"/>
      <c r="E536" s="15">
        <f t="shared" si="1"/>
        <v>0</v>
      </c>
    </row>
    <row r="537" ht="22.5" customHeight="1">
      <c r="A537" s="30"/>
      <c r="B537" s="31"/>
      <c r="C537" s="31"/>
      <c r="D537" s="32"/>
      <c r="E537" s="15">
        <f t="shared" si="1"/>
        <v>0</v>
      </c>
    </row>
    <row r="538" ht="22.5" customHeight="1">
      <c r="A538" s="30"/>
      <c r="B538" s="31"/>
      <c r="C538" s="31"/>
      <c r="D538" s="32"/>
      <c r="E538" s="15">
        <f t="shared" si="1"/>
        <v>0</v>
      </c>
    </row>
    <row r="539" ht="22.5" customHeight="1">
      <c r="A539" s="30"/>
      <c r="B539" s="31"/>
      <c r="C539" s="31"/>
      <c r="D539" s="32"/>
      <c r="E539" s="15">
        <f t="shared" si="1"/>
        <v>0</v>
      </c>
    </row>
    <row r="540" ht="22.5" customHeight="1">
      <c r="A540" s="30"/>
      <c r="B540" s="31"/>
      <c r="C540" s="31"/>
      <c r="D540" s="32"/>
      <c r="E540" s="15">
        <f t="shared" si="1"/>
        <v>0</v>
      </c>
    </row>
    <row r="541" ht="22.5" customHeight="1">
      <c r="A541" s="30"/>
      <c r="B541" s="31"/>
      <c r="C541" s="31"/>
      <c r="D541" s="32"/>
      <c r="E541" s="15">
        <f t="shared" si="1"/>
        <v>0</v>
      </c>
    </row>
    <row r="542" ht="22.5" customHeight="1">
      <c r="A542" s="30"/>
      <c r="B542" s="31"/>
      <c r="C542" s="31"/>
      <c r="D542" s="32"/>
      <c r="E542" s="15">
        <f t="shared" si="1"/>
        <v>0</v>
      </c>
    </row>
    <row r="543" ht="22.5" customHeight="1">
      <c r="A543" s="30"/>
      <c r="B543" s="31"/>
      <c r="C543" s="31"/>
      <c r="D543" s="32"/>
      <c r="E543" s="15">
        <f t="shared" si="1"/>
        <v>0</v>
      </c>
    </row>
    <row r="544" ht="22.5" customHeight="1">
      <c r="A544" s="30"/>
      <c r="B544" s="31"/>
      <c r="C544" s="31"/>
      <c r="D544" s="32"/>
      <c r="E544" s="15">
        <f t="shared" si="1"/>
        <v>0</v>
      </c>
    </row>
    <row r="545" ht="22.5" customHeight="1">
      <c r="A545" s="30"/>
      <c r="B545" s="31"/>
      <c r="C545" s="31"/>
      <c r="D545" s="32"/>
      <c r="E545" s="15">
        <f t="shared" si="1"/>
        <v>0</v>
      </c>
    </row>
    <row r="546" ht="22.5" customHeight="1">
      <c r="A546" s="30"/>
      <c r="B546" s="31"/>
      <c r="C546" s="31"/>
      <c r="D546" s="32"/>
      <c r="E546" s="15">
        <f t="shared" si="1"/>
        <v>0</v>
      </c>
    </row>
    <row r="547" ht="22.5" customHeight="1">
      <c r="A547" s="30"/>
      <c r="B547" s="31"/>
      <c r="C547" s="31"/>
      <c r="D547" s="32"/>
      <c r="E547" s="15">
        <f t="shared" si="1"/>
        <v>0</v>
      </c>
    </row>
    <row r="548" ht="22.5" customHeight="1">
      <c r="A548" s="30"/>
      <c r="B548" s="31"/>
      <c r="C548" s="31"/>
      <c r="D548" s="32"/>
      <c r="E548" s="15">
        <f t="shared" si="1"/>
        <v>0</v>
      </c>
    </row>
    <row r="549" ht="22.5" customHeight="1">
      <c r="A549" s="30"/>
      <c r="B549" s="31"/>
      <c r="C549" s="31"/>
      <c r="D549" s="32"/>
      <c r="E549" s="15">
        <f t="shared" si="1"/>
        <v>0</v>
      </c>
    </row>
    <row r="550" ht="22.5" customHeight="1">
      <c r="A550" s="30"/>
      <c r="B550" s="31"/>
      <c r="C550" s="31"/>
      <c r="D550" s="32"/>
      <c r="E550" s="15">
        <f t="shared" si="1"/>
        <v>0</v>
      </c>
    </row>
    <row r="551" ht="22.5" customHeight="1">
      <c r="A551" s="30"/>
      <c r="B551" s="31"/>
      <c r="C551" s="31"/>
      <c r="D551" s="32"/>
      <c r="E551" s="15">
        <f t="shared" si="1"/>
        <v>0</v>
      </c>
    </row>
    <row r="552" ht="22.5" customHeight="1">
      <c r="A552" s="30"/>
      <c r="B552" s="31"/>
      <c r="C552" s="31"/>
      <c r="D552" s="32"/>
      <c r="E552" s="15">
        <f t="shared" si="1"/>
        <v>0</v>
      </c>
    </row>
    <row r="553" ht="22.5" customHeight="1">
      <c r="A553" s="30"/>
      <c r="B553" s="31"/>
      <c r="C553" s="31"/>
      <c r="D553" s="32"/>
      <c r="E553" s="15">
        <f t="shared" si="1"/>
        <v>0</v>
      </c>
    </row>
  </sheetData>
  <dataValidations>
    <dataValidation type="custom" allowBlank="1" showDropDown="1" sqref="A2:A553">
      <formula1>OR(NOT(ISERROR(DATEVALUE(A2))), AND(ISNUMBER(A2), LEFT(CELL("format", A2))="D"))</formula1>
    </dataValidation>
    <dataValidation type="custom" allowBlank="1" showDropDown="1" sqref="D2:E55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5.88"/>
    <col customWidth="1" min="7" max="7" width="13.75"/>
  </cols>
  <sheetData>
    <row r="1">
      <c r="E1" s="33"/>
      <c r="F1" s="33"/>
    </row>
    <row r="2">
      <c r="A2" s="34"/>
      <c r="E2" s="35"/>
      <c r="F2" s="35"/>
    </row>
    <row r="3">
      <c r="A3" s="36"/>
      <c r="E3" s="33"/>
      <c r="F3" s="35"/>
    </row>
    <row r="4">
      <c r="A4" s="36" t="s">
        <v>3</v>
      </c>
      <c r="C4" s="37" t="s">
        <v>248</v>
      </c>
      <c r="E4" s="35"/>
      <c r="F4" s="35"/>
    </row>
    <row r="5">
      <c r="A5" s="2" t="s">
        <v>15</v>
      </c>
      <c r="C5" s="2" t="s">
        <v>11</v>
      </c>
      <c r="E5" s="35"/>
      <c r="F5" s="35"/>
    </row>
    <row r="6">
      <c r="A6" s="2" t="s">
        <v>10</v>
      </c>
      <c r="C6" s="2" t="s">
        <v>249</v>
      </c>
      <c r="E6" s="35"/>
      <c r="F6" s="35"/>
    </row>
    <row r="7">
      <c r="A7" s="2" t="s">
        <v>25</v>
      </c>
      <c r="C7" s="2" t="s">
        <v>26</v>
      </c>
      <c r="E7" s="35"/>
      <c r="F7" s="35"/>
    </row>
    <row r="8">
      <c r="A8" s="2" t="s">
        <v>250</v>
      </c>
      <c r="C8" s="2" t="s">
        <v>251</v>
      </c>
      <c r="E8" s="35"/>
      <c r="F8" s="35"/>
    </row>
    <row r="9">
      <c r="A9" s="2" t="s">
        <v>252</v>
      </c>
      <c r="C9" s="2" t="s">
        <v>253</v>
      </c>
      <c r="E9" s="35"/>
      <c r="F9" s="35"/>
    </row>
    <row r="10">
      <c r="A10" s="2" t="s">
        <v>254</v>
      </c>
      <c r="C10" s="38" t="s">
        <v>22</v>
      </c>
      <c r="E10" s="35"/>
      <c r="F10" s="35"/>
    </row>
    <row r="11">
      <c r="A11" s="2" t="s">
        <v>17</v>
      </c>
      <c r="C11" s="38" t="s">
        <v>19</v>
      </c>
      <c r="E11" s="35"/>
      <c r="F11" s="35"/>
    </row>
    <row r="12">
      <c r="A12" s="2" t="s">
        <v>13</v>
      </c>
      <c r="C12" s="2" t="s">
        <v>255</v>
      </c>
      <c r="E12" s="35"/>
      <c r="F12" s="35"/>
    </row>
    <row r="13">
      <c r="A13" s="2" t="s">
        <v>51</v>
      </c>
      <c r="C13" s="2" t="s">
        <v>256</v>
      </c>
      <c r="E13" s="35"/>
      <c r="F13" s="35"/>
    </row>
    <row r="14">
      <c r="A14" s="39"/>
      <c r="E14" s="35"/>
      <c r="F14" s="35"/>
    </row>
    <row r="15">
      <c r="A15" s="39"/>
      <c r="E15" s="35"/>
      <c r="F15" s="35"/>
    </row>
    <row r="16">
      <c r="A16" s="39"/>
      <c r="E16" s="35"/>
      <c r="F16" s="35"/>
    </row>
    <row r="17">
      <c r="A17" s="39"/>
      <c r="E17" s="35"/>
      <c r="F17" s="35"/>
    </row>
    <row r="18">
      <c r="E18" s="35"/>
      <c r="F18" s="35"/>
    </row>
    <row r="19">
      <c r="E19" s="35"/>
      <c r="F19" s="35"/>
    </row>
    <row r="20">
      <c r="E20" s="35"/>
      <c r="F20" s="35"/>
    </row>
    <row r="21">
      <c r="E21" s="35"/>
      <c r="F21" s="35"/>
    </row>
    <row r="22">
      <c r="E22" s="35"/>
      <c r="F22" s="35"/>
    </row>
    <row r="23">
      <c r="E23" s="35"/>
      <c r="F23" s="35"/>
    </row>
    <row r="24">
      <c r="E24" s="35"/>
      <c r="F24" s="35"/>
    </row>
    <row r="25">
      <c r="E25" s="35"/>
      <c r="F25" s="35"/>
    </row>
    <row r="26">
      <c r="E26" s="35"/>
      <c r="F26" s="35"/>
    </row>
    <row r="27">
      <c r="E27" s="35"/>
      <c r="F27" s="35"/>
    </row>
    <row r="28">
      <c r="E28" s="35"/>
      <c r="F28" s="35"/>
    </row>
    <row r="29">
      <c r="E29" s="35"/>
      <c r="F29" s="35"/>
    </row>
    <row r="30">
      <c r="E30" s="35"/>
      <c r="F30" s="35"/>
    </row>
    <row r="31">
      <c r="E31" s="35"/>
      <c r="F31" s="35"/>
    </row>
    <row r="32">
      <c r="E32" s="35"/>
      <c r="F32" s="35"/>
    </row>
    <row r="33">
      <c r="E33" s="35"/>
      <c r="F33" s="35"/>
    </row>
    <row r="34">
      <c r="E34" s="35"/>
      <c r="F34" s="35"/>
    </row>
    <row r="35">
      <c r="E35" s="35"/>
      <c r="F35" s="35"/>
    </row>
    <row r="36">
      <c r="E36" s="35"/>
      <c r="F36" s="35"/>
    </row>
    <row r="37">
      <c r="E37" s="35"/>
      <c r="F37" s="35"/>
    </row>
    <row r="38">
      <c r="E38" s="35"/>
      <c r="F38" s="35"/>
    </row>
    <row r="39">
      <c r="E39" s="35"/>
      <c r="F39" s="35"/>
    </row>
    <row r="40">
      <c r="E40" s="35"/>
      <c r="F40" s="35"/>
    </row>
    <row r="41">
      <c r="E41" s="35"/>
      <c r="F41" s="35"/>
    </row>
    <row r="42">
      <c r="E42" s="35"/>
      <c r="F42" s="35"/>
    </row>
    <row r="43">
      <c r="E43" s="35"/>
      <c r="F43" s="35"/>
    </row>
    <row r="44">
      <c r="E44" s="35"/>
      <c r="F44" s="35"/>
    </row>
    <row r="45">
      <c r="E45" s="35"/>
      <c r="F45" s="35"/>
    </row>
    <row r="46">
      <c r="E46" s="35"/>
      <c r="F46" s="35"/>
    </row>
    <row r="47">
      <c r="E47" s="35"/>
      <c r="F47" s="35"/>
    </row>
    <row r="48">
      <c r="E48" s="35"/>
      <c r="F48" s="35"/>
    </row>
    <row r="49">
      <c r="E49" s="35"/>
      <c r="F49" s="35"/>
    </row>
    <row r="50">
      <c r="E50" s="35"/>
      <c r="F50" s="35"/>
    </row>
    <row r="51">
      <c r="E51" s="35"/>
      <c r="F51" s="35"/>
    </row>
    <row r="52">
      <c r="E52" s="35"/>
      <c r="F52" s="35"/>
    </row>
    <row r="53">
      <c r="E53" s="35"/>
      <c r="F53" s="35"/>
    </row>
    <row r="54">
      <c r="E54" s="35"/>
      <c r="F54" s="35"/>
    </row>
    <row r="55">
      <c r="E55" s="35"/>
      <c r="F55" s="35"/>
    </row>
    <row r="56">
      <c r="E56" s="35"/>
      <c r="F56" s="35"/>
    </row>
    <row r="57">
      <c r="E57" s="35"/>
      <c r="F57" s="35"/>
    </row>
    <row r="58">
      <c r="E58" s="35"/>
      <c r="F58" s="35"/>
    </row>
    <row r="59">
      <c r="E59" s="35"/>
      <c r="F59" s="35"/>
    </row>
    <row r="60">
      <c r="E60" s="35"/>
      <c r="F60" s="35"/>
    </row>
    <row r="61">
      <c r="E61" s="35"/>
      <c r="F61" s="35"/>
    </row>
    <row r="62">
      <c r="E62" s="35"/>
      <c r="F62" s="35"/>
    </row>
    <row r="63">
      <c r="E63" s="35"/>
      <c r="F63" s="35"/>
    </row>
    <row r="64">
      <c r="E64" s="35"/>
      <c r="F64" s="35"/>
    </row>
    <row r="65">
      <c r="E65" s="35"/>
      <c r="F65" s="35"/>
    </row>
    <row r="66">
      <c r="E66" s="35"/>
      <c r="F66" s="35"/>
    </row>
    <row r="67">
      <c r="E67" s="35"/>
      <c r="F67" s="35"/>
    </row>
    <row r="68">
      <c r="E68" s="35"/>
      <c r="F68" s="35"/>
    </row>
    <row r="69">
      <c r="E69" s="35"/>
      <c r="F69" s="35"/>
    </row>
    <row r="70">
      <c r="E70" s="35"/>
      <c r="F70" s="35"/>
    </row>
    <row r="71">
      <c r="E71" s="35"/>
      <c r="F71" s="35"/>
    </row>
    <row r="72">
      <c r="E72" s="35"/>
      <c r="F72" s="35"/>
    </row>
    <row r="73">
      <c r="E73" s="35"/>
      <c r="F73" s="35"/>
    </row>
    <row r="74">
      <c r="E74" s="35"/>
      <c r="F74" s="35"/>
    </row>
    <row r="75">
      <c r="E75" s="35"/>
      <c r="F75" s="35"/>
    </row>
    <row r="76">
      <c r="E76" s="35"/>
      <c r="F76" s="35"/>
    </row>
    <row r="77">
      <c r="E77" s="35"/>
      <c r="F77" s="35"/>
    </row>
    <row r="78">
      <c r="E78" s="35"/>
      <c r="F78" s="35"/>
    </row>
    <row r="79">
      <c r="E79" s="35"/>
      <c r="F79" s="35"/>
    </row>
    <row r="80">
      <c r="E80" s="35"/>
      <c r="F80" s="35"/>
    </row>
    <row r="81">
      <c r="E81" s="35"/>
      <c r="F81" s="35"/>
    </row>
    <row r="82">
      <c r="E82" s="35"/>
      <c r="F82" s="35"/>
    </row>
    <row r="83">
      <c r="E83" s="35"/>
      <c r="F83" s="35"/>
    </row>
    <row r="84">
      <c r="E84" s="35"/>
      <c r="F84" s="35"/>
    </row>
    <row r="85">
      <c r="E85" s="35"/>
      <c r="F85" s="35"/>
    </row>
    <row r="86">
      <c r="E86" s="35"/>
      <c r="F86" s="35"/>
    </row>
    <row r="87">
      <c r="E87" s="35"/>
      <c r="F87" s="35"/>
    </row>
    <row r="88">
      <c r="E88" s="35"/>
      <c r="F88" s="35"/>
    </row>
    <row r="89">
      <c r="E89" s="35"/>
      <c r="F89" s="35"/>
    </row>
    <row r="90">
      <c r="E90" s="35"/>
      <c r="F90" s="35"/>
    </row>
    <row r="91">
      <c r="E91" s="35"/>
      <c r="F91" s="35"/>
    </row>
    <row r="92">
      <c r="E92" s="35"/>
      <c r="F92" s="35"/>
    </row>
    <row r="93">
      <c r="E93" s="35"/>
      <c r="F93" s="35"/>
    </row>
    <row r="94">
      <c r="E94" s="35"/>
      <c r="F94" s="35"/>
    </row>
    <row r="95">
      <c r="E95" s="35"/>
      <c r="F95" s="35"/>
    </row>
    <row r="96">
      <c r="E96" s="35"/>
      <c r="F96" s="35"/>
    </row>
    <row r="97">
      <c r="E97" s="35"/>
      <c r="F97" s="35"/>
    </row>
    <row r="98">
      <c r="E98" s="35"/>
      <c r="F98" s="35"/>
    </row>
    <row r="99">
      <c r="E99" s="35"/>
      <c r="F99" s="35"/>
    </row>
    <row r="100">
      <c r="E100" s="35"/>
      <c r="F100" s="35"/>
    </row>
    <row r="101">
      <c r="E101" s="35"/>
      <c r="F101" s="35"/>
    </row>
    <row r="102">
      <c r="E102" s="35"/>
      <c r="F102" s="35"/>
    </row>
    <row r="103">
      <c r="E103" s="35"/>
      <c r="F103" s="35"/>
    </row>
    <row r="104">
      <c r="E104" s="35"/>
      <c r="F104" s="35"/>
    </row>
    <row r="105">
      <c r="E105" s="35"/>
      <c r="F105" s="35"/>
    </row>
    <row r="106">
      <c r="E106" s="35"/>
      <c r="F106" s="35"/>
    </row>
    <row r="107">
      <c r="E107" s="35"/>
      <c r="F107" s="35"/>
    </row>
    <row r="108">
      <c r="E108" s="35"/>
      <c r="F108" s="35"/>
    </row>
    <row r="109">
      <c r="E109" s="35"/>
      <c r="F109" s="35"/>
    </row>
    <row r="110">
      <c r="E110" s="35"/>
      <c r="F110" s="35"/>
    </row>
    <row r="111">
      <c r="E111" s="35"/>
      <c r="F111" s="35"/>
    </row>
    <row r="112">
      <c r="E112" s="35"/>
      <c r="F112" s="35"/>
    </row>
    <row r="113">
      <c r="E113" s="35"/>
      <c r="F113" s="35"/>
    </row>
    <row r="114">
      <c r="E114" s="35"/>
      <c r="F114" s="35"/>
    </row>
    <row r="115">
      <c r="E115" s="35"/>
      <c r="F115" s="35"/>
    </row>
    <row r="116">
      <c r="E116" s="35"/>
      <c r="F116" s="35"/>
    </row>
    <row r="117">
      <c r="E117" s="35"/>
      <c r="F117" s="35"/>
    </row>
    <row r="118">
      <c r="E118" s="35"/>
      <c r="F118" s="35"/>
    </row>
    <row r="119">
      <c r="E119" s="35"/>
      <c r="F119" s="35"/>
    </row>
    <row r="120">
      <c r="E120" s="35"/>
      <c r="F120" s="35"/>
    </row>
    <row r="121">
      <c r="E121" s="35"/>
      <c r="F121" s="35"/>
    </row>
    <row r="122">
      <c r="E122" s="35"/>
      <c r="F122" s="35"/>
    </row>
    <row r="123">
      <c r="E123" s="35"/>
      <c r="F123" s="35"/>
    </row>
    <row r="124">
      <c r="E124" s="35"/>
      <c r="F124" s="35"/>
    </row>
    <row r="125">
      <c r="E125" s="35"/>
      <c r="F125" s="35"/>
    </row>
    <row r="126">
      <c r="E126" s="35"/>
      <c r="F126" s="35"/>
    </row>
    <row r="127">
      <c r="E127" s="35"/>
      <c r="F127" s="35"/>
    </row>
    <row r="128">
      <c r="E128" s="35"/>
      <c r="F128" s="35"/>
    </row>
    <row r="129">
      <c r="E129" s="35"/>
      <c r="F129" s="35"/>
    </row>
    <row r="130">
      <c r="E130" s="35"/>
      <c r="F130" s="35"/>
    </row>
    <row r="131">
      <c r="E131" s="35"/>
      <c r="F131" s="35"/>
    </row>
    <row r="132">
      <c r="E132" s="35"/>
      <c r="F132" s="35"/>
    </row>
    <row r="133">
      <c r="E133" s="35"/>
      <c r="F133" s="35"/>
    </row>
    <row r="134">
      <c r="E134" s="35"/>
      <c r="F134" s="35"/>
    </row>
    <row r="135">
      <c r="E135" s="35"/>
      <c r="F135" s="35"/>
    </row>
    <row r="136">
      <c r="E136" s="35"/>
      <c r="F136" s="35"/>
    </row>
    <row r="137">
      <c r="E137" s="35"/>
      <c r="F137" s="35"/>
    </row>
    <row r="138">
      <c r="E138" s="35"/>
      <c r="F138" s="35"/>
    </row>
    <row r="139">
      <c r="E139" s="35"/>
      <c r="F139" s="35"/>
    </row>
    <row r="140">
      <c r="E140" s="35"/>
      <c r="F140" s="35"/>
    </row>
    <row r="141">
      <c r="E141" s="35"/>
      <c r="F141" s="35"/>
    </row>
    <row r="142">
      <c r="E142" s="35"/>
      <c r="F142" s="35"/>
    </row>
    <row r="143">
      <c r="E143" s="35"/>
      <c r="F143" s="35"/>
    </row>
    <row r="144">
      <c r="E144" s="35"/>
      <c r="F144" s="35"/>
    </row>
    <row r="145">
      <c r="E145" s="35"/>
      <c r="F145" s="35"/>
    </row>
    <row r="146">
      <c r="E146" s="35"/>
      <c r="F146" s="35"/>
    </row>
    <row r="147">
      <c r="E147" s="35"/>
      <c r="F147" s="35"/>
    </row>
    <row r="148">
      <c r="E148" s="35"/>
      <c r="F148" s="35"/>
    </row>
    <row r="149">
      <c r="E149" s="35"/>
      <c r="F149" s="35"/>
    </row>
    <row r="150">
      <c r="E150" s="35"/>
      <c r="F150" s="35"/>
    </row>
    <row r="151">
      <c r="E151" s="35"/>
      <c r="F151" s="35"/>
    </row>
    <row r="152">
      <c r="E152" s="35"/>
      <c r="F152" s="35"/>
    </row>
    <row r="153">
      <c r="E153" s="35"/>
      <c r="F153" s="35"/>
    </row>
    <row r="154">
      <c r="E154" s="35"/>
      <c r="F154" s="35"/>
    </row>
    <row r="155">
      <c r="E155" s="35"/>
      <c r="F155" s="35"/>
    </row>
    <row r="156">
      <c r="E156" s="35"/>
      <c r="F156" s="35"/>
    </row>
    <row r="157">
      <c r="E157" s="35"/>
      <c r="F157" s="35"/>
    </row>
    <row r="158">
      <c r="E158" s="35"/>
      <c r="F158" s="35"/>
    </row>
    <row r="159">
      <c r="E159" s="35"/>
      <c r="F159" s="35"/>
    </row>
    <row r="160">
      <c r="E160" s="35"/>
      <c r="F160" s="35"/>
    </row>
    <row r="161">
      <c r="E161" s="35"/>
      <c r="F161" s="35"/>
    </row>
    <row r="162">
      <c r="E162" s="35"/>
      <c r="F162" s="35"/>
    </row>
    <row r="163">
      <c r="E163" s="35"/>
      <c r="F163" s="35"/>
    </row>
    <row r="164">
      <c r="E164" s="35"/>
      <c r="F164" s="35"/>
    </row>
    <row r="165">
      <c r="E165" s="35"/>
      <c r="F165" s="35"/>
    </row>
    <row r="166">
      <c r="E166" s="35"/>
      <c r="F166" s="35"/>
    </row>
    <row r="167">
      <c r="E167" s="35"/>
      <c r="F167" s="35"/>
    </row>
    <row r="168">
      <c r="E168" s="35"/>
      <c r="F168" s="35"/>
    </row>
    <row r="169">
      <c r="E169" s="35"/>
      <c r="F169" s="35"/>
    </row>
    <row r="170">
      <c r="E170" s="35"/>
      <c r="F170" s="35"/>
    </row>
    <row r="171">
      <c r="E171" s="35"/>
      <c r="F171" s="35"/>
    </row>
    <row r="172">
      <c r="E172" s="35"/>
      <c r="F172" s="35"/>
    </row>
    <row r="173">
      <c r="E173" s="35"/>
      <c r="F173" s="35"/>
    </row>
    <row r="174">
      <c r="E174" s="35"/>
      <c r="F174" s="35"/>
    </row>
    <row r="175">
      <c r="E175" s="35"/>
      <c r="F175" s="35"/>
    </row>
    <row r="176">
      <c r="E176" s="35"/>
      <c r="F176" s="35"/>
    </row>
    <row r="177">
      <c r="E177" s="35"/>
      <c r="F177" s="35"/>
    </row>
    <row r="178">
      <c r="E178" s="35"/>
      <c r="F178" s="35"/>
    </row>
    <row r="179">
      <c r="E179" s="35"/>
      <c r="F179" s="35"/>
    </row>
    <row r="180">
      <c r="E180" s="35"/>
      <c r="F180" s="35"/>
    </row>
    <row r="181">
      <c r="E181" s="35"/>
      <c r="F181" s="35"/>
    </row>
    <row r="182">
      <c r="E182" s="35"/>
      <c r="F182" s="35"/>
    </row>
    <row r="183">
      <c r="E183" s="35"/>
      <c r="F183" s="35"/>
    </row>
    <row r="184">
      <c r="E184" s="35"/>
      <c r="F184" s="35"/>
    </row>
    <row r="185">
      <c r="E185" s="35"/>
      <c r="F185" s="35"/>
    </row>
    <row r="186">
      <c r="E186" s="35"/>
      <c r="F186" s="35"/>
    </row>
    <row r="187">
      <c r="E187" s="35"/>
      <c r="F187" s="35"/>
    </row>
    <row r="188">
      <c r="E188" s="35"/>
      <c r="F188" s="35"/>
    </row>
    <row r="189">
      <c r="E189" s="35"/>
      <c r="F189" s="35"/>
    </row>
    <row r="190">
      <c r="E190" s="35"/>
      <c r="F190" s="35"/>
    </row>
    <row r="191">
      <c r="E191" s="35"/>
      <c r="F191" s="35"/>
    </row>
    <row r="192">
      <c r="E192" s="35"/>
      <c r="F192" s="35"/>
    </row>
    <row r="193">
      <c r="E193" s="35"/>
      <c r="F193" s="35"/>
    </row>
    <row r="194">
      <c r="E194" s="35"/>
      <c r="F194" s="35"/>
    </row>
    <row r="195">
      <c r="E195" s="35"/>
      <c r="F195" s="35"/>
    </row>
    <row r="196">
      <c r="E196" s="35"/>
      <c r="F196" s="35"/>
    </row>
    <row r="197">
      <c r="E197" s="35"/>
      <c r="F197" s="35"/>
    </row>
    <row r="198">
      <c r="E198" s="35"/>
      <c r="F198" s="35"/>
    </row>
    <row r="199">
      <c r="E199" s="35"/>
      <c r="F199" s="35"/>
    </row>
    <row r="200">
      <c r="E200" s="35"/>
      <c r="F200" s="35"/>
    </row>
    <row r="201">
      <c r="E201" s="35"/>
      <c r="F201" s="35"/>
    </row>
    <row r="202">
      <c r="E202" s="35"/>
      <c r="F202" s="35"/>
    </row>
    <row r="203">
      <c r="E203" s="35"/>
      <c r="F203" s="35"/>
    </row>
    <row r="204">
      <c r="E204" s="35"/>
      <c r="F204" s="35"/>
    </row>
    <row r="205">
      <c r="E205" s="35"/>
      <c r="F205" s="35"/>
    </row>
    <row r="206">
      <c r="E206" s="35"/>
      <c r="F206" s="35"/>
    </row>
    <row r="207">
      <c r="E207" s="35"/>
      <c r="F207" s="35"/>
    </row>
    <row r="208">
      <c r="E208" s="35"/>
      <c r="F208" s="35"/>
    </row>
    <row r="209">
      <c r="E209" s="35"/>
      <c r="F209" s="35"/>
    </row>
    <row r="210">
      <c r="E210" s="35"/>
      <c r="F210" s="35"/>
    </row>
    <row r="211">
      <c r="E211" s="35"/>
      <c r="F211" s="35"/>
    </row>
    <row r="212">
      <c r="E212" s="35"/>
      <c r="F212" s="35"/>
    </row>
    <row r="213">
      <c r="E213" s="35"/>
      <c r="F213" s="35"/>
    </row>
    <row r="214">
      <c r="E214" s="35"/>
      <c r="F214" s="35"/>
    </row>
    <row r="215">
      <c r="E215" s="35"/>
      <c r="F215" s="35"/>
    </row>
    <row r="216">
      <c r="E216" s="35"/>
      <c r="F216" s="35"/>
    </row>
    <row r="217">
      <c r="E217" s="35"/>
      <c r="F217" s="35"/>
    </row>
    <row r="218">
      <c r="E218" s="35"/>
      <c r="F218" s="35"/>
    </row>
    <row r="219">
      <c r="E219" s="35"/>
      <c r="F219" s="35"/>
    </row>
    <row r="220">
      <c r="E220" s="35"/>
      <c r="F220" s="35"/>
    </row>
    <row r="221">
      <c r="E221" s="35"/>
      <c r="F221" s="35"/>
    </row>
    <row r="222">
      <c r="E222" s="35"/>
      <c r="F222" s="35"/>
    </row>
    <row r="223">
      <c r="E223" s="35"/>
      <c r="F223" s="35"/>
    </row>
    <row r="224">
      <c r="E224" s="35"/>
      <c r="F224" s="35"/>
    </row>
    <row r="225">
      <c r="E225" s="35"/>
      <c r="F225" s="35"/>
    </row>
    <row r="226">
      <c r="E226" s="35"/>
      <c r="F226" s="35"/>
    </row>
    <row r="227">
      <c r="E227" s="35"/>
      <c r="F227" s="35"/>
    </row>
    <row r="228">
      <c r="E228" s="35"/>
      <c r="F228" s="35"/>
    </row>
    <row r="229">
      <c r="E229" s="35"/>
      <c r="F229" s="35"/>
    </row>
    <row r="230">
      <c r="E230" s="35"/>
      <c r="F230" s="35"/>
    </row>
    <row r="231">
      <c r="E231" s="35"/>
      <c r="F231" s="35"/>
    </row>
    <row r="232">
      <c r="E232" s="35"/>
      <c r="F232" s="35"/>
    </row>
    <row r="233">
      <c r="E233" s="35"/>
      <c r="F233" s="35"/>
    </row>
    <row r="234">
      <c r="E234" s="35"/>
      <c r="F234" s="35"/>
    </row>
    <row r="235">
      <c r="E235" s="35"/>
      <c r="F235" s="35"/>
    </row>
    <row r="236">
      <c r="E236" s="35"/>
      <c r="F236" s="35"/>
    </row>
    <row r="237">
      <c r="E237" s="35"/>
      <c r="F237" s="35"/>
    </row>
    <row r="238">
      <c r="E238" s="35"/>
      <c r="F238" s="35"/>
    </row>
    <row r="239">
      <c r="E239" s="35"/>
      <c r="F239" s="35"/>
    </row>
    <row r="240">
      <c r="E240" s="35"/>
      <c r="F240" s="35"/>
    </row>
    <row r="241">
      <c r="E241" s="35"/>
      <c r="F241" s="35"/>
    </row>
    <row r="242">
      <c r="E242" s="35"/>
      <c r="F242" s="35"/>
    </row>
    <row r="243">
      <c r="E243" s="35"/>
      <c r="F243" s="35"/>
    </row>
    <row r="244">
      <c r="E244" s="35"/>
      <c r="F244" s="35"/>
    </row>
    <row r="245">
      <c r="E245" s="35"/>
      <c r="F245" s="35"/>
    </row>
    <row r="246">
      <c r="E246" s="35"/>
      <c r="F246" s="35"/>
    </row>
    <row r="247">
      <c r="E247" s="35"/>
      <c r="F247" s="35"/>
    </row>
    <row r="248">
      <c r="E248" s="35"/>
      <c r="F248" s="35"/>
    </row>
    <row r="249">
      <c r="E249" s="35"/>
      <c r="F249" s="35"/>
    </row>
    <row r="250">
      <c r="E250" s="35"/>
      <c r="F250" s="35"/>
    </row>
    <row r="251">
      <c r="E251" s="35"/>
      <c r="F251" s="35"/>
    </row>
    <row r="252">
      <c r="E252" s="35"/>
      <c r="F252" s="35"/>
    </row>
    <row r="253">
      <c r="E253" s="35"/>
      <c r="F253" s="35"/>
    </row>
    <row r="254">
      <c r="E254" s="35"/>
      <c r="F254" s="35"/>
    </row>
    <row r="255">
      <c r="E255" s="35"/>
      <c r="F255" s="35"/>
    </row>
    <row r="256">
      <c r="E256" s="35"/>
      <c r="F256" s="35"/>
    </row>
    <row r="257">
      <c r="E257" s="35"/>
      <c r="F257" s="35"/>
    </row>
    <row r="258">
      <c r="E258" s="35"/>
      <c r="F258" s="35"/>
    </row>
    <row r="259">
      <c r="E259" s="35"/>
      <c r="F259" s="35"/>
    </row>
    <row r="260">
      <c r="E260" s="35"/>
      <c r="F260" s="35"/>
    </row>
    <row r="261">
      <c r="E261" s="35"/>
      <c r="F261" s="35"/>
    </row>
    <row r="262">
      <c r="E262" s="35"/>
      <c r="F262" s="35"/>
    </row>
    <row r="263">
      <c r="E263" s="35"/>
      <c r="F263" s="35"/>
    </row>
    <row r="264">
      <c r="E264" s="35"/>
      <c r="F264" s="35"/>
    </row>
    <row r="265">
      <c r="E265" s="35"/>
      <c r="F265" s="35"/>
    </row>
    <row r="266">
      <c r="E266" s="35"/>
      <c r="F266" s="35"/>
    </row>
    <row r="267">
      <c r="E267" s="35"/>
      <c r="F267" s="35"/>
    </row>
    <row r="268">
      <c r="E268" s="35"/>
      <c r="F268" s="35"/>
    </row>
    <row r="269">
      <c r="E269" s="35"/>
      <c r="F269" s="35"/>
    </row>
    <row r="270">
      <c r="E270" s="35"/>
      <c r="F270" s="35"/>
    </row>
    <row r="271">
      <c r="E271" s="35"/>
      <c r="F271" s="35"/>
    </row>
    <row r="272">
      <c r="E272" s="35"/>
      <c r="F272" s="35"/>
    </row>
    <row r="273">
      <c r="E273" s="35"/>
      <c r="F273" s="35"/>
    </row>
    <row r="274">
      <c r="E274" s="35"/>
      <c r="F274" s="35"/>
    </row>
    <row r="275">
      <c r="E275" s="35"/>
      <c r="F275" s="35"/>
    </row>
    <row r="276">
      <c r="E276" s="35"/>
      <c r="F276" s="35"/>
    </row>
    <row r="277">
      <c r="E277" s="35"/>
      <c r="F277" s="35"/>
    </row>
    <row r="278">
      <c r="E278" s="35"/>
      <c r="F278" s="35"/>
    </row>
    <row r="279">
      <c r="E279" s="35"/>
      <c r="F279" s="35"/>
    </row>
    <row r="280">
      <c r="E280" s="35"/>
      <c r="F280" s="35"/>
    </row>
    <row r="281">
      <c r="E281" s="35"/>
      <c r="F281" s="35"/>
    </row>
    <row r="282">
      <c r="E282" s="35"/>
      <c r="F282" s="35"/>
    </row>
    <row r="283">
      <c r="E283" s="35"/>
      <c r="F283" s="35"/>
    </row>
    <row r="284">
      <c r="E284" s="35"/>
      <c r="F284" s="35"/>
    </row>
    <row r="285">
      <c r="E285" s="35"/>
      <c r="F285" s="35"/>
    </row>
    <row r="286">
      <c r="E286" s="35"/>
      <c r="F286" s="35"/>
    </row>
    <row r="287">
      <c r="E287" s="35"/>
      <c r="F287" s="35"/>
    </row>
    <row r="288">
      <c r="E288" s="35"/>
      <c r="F288" s="35"/>
    </row>
    <row r="289">
      <c r="E289" s="35"/>
      <c r="F289" s="35"/>
    </row>
    <row r="290">
      <c r="E290" s="35"/>
      <c r="F290" s="35"/>
    </row>
    <row r="291">
      <c r="E291" s="35"/>
      <c r="F291" s="35"/>
    </row>
    <row r="292">
      <c r="E292" s="35"/>
      <c r="F292" s="35"/>
    </row>
    <row r="293">
      <c r="E293" s="35"/>
      <c r="F293" s="35"/>
    </row>
    <row r="294">
      <c r="E294" s="35"/>
      <c r="F294" s="35"/>
    </row>
    <row r="295">
      <c r="E295" s="35"/>
      <c r="F295" s="35"/>
    </row>
    <row r="296">
      <c r="E296" s="35"/>
      <c r="F296" s="35"/>
    </row>
    <row r="297">
      <c r="E297" s="35"/>
      <c r="F297" s="35"/>
    </row>
    <row r="298">
      <c r="E298" s="35"/>
      <c r="F298" s="35"/>
    </row>
    <row r="299">
      <c r="E299" s="35"/>
      <c r="F299" s="35"/>
    </row>
    <row r="300">
      <c r="E300" s="35"/>
      <c r="F300" s="35"/>
    </row>
    <row r="301">
      <c r="E301" s="35"/>
      <c r="F301" s="35"/>
    </row>
    <row r="302">
      <c r="E302" s="35"/>
      <c r="F302" s="35"/>
    </row>
    <row r="303">
      <c r="E303" s="35"/>
      <c r="F303" s="35"/>
    </row>
    <row r="304">
      <c r="E304" s="35"/>
      <c r="F304" s="35"/>
    </row>
    <row r="305">
      <c r="E305" s="35"/>
      <c r="F305" s="35"/>
    </row>
    <row r="306">
      <c r="E306" s="35"/>
      <c r="F306" s="35"/>
    </row>
    <row r="307">
      <c r="E307" s="35"/>
      <c r="F307" s="35"/>
    </row>
    <row r="308">
      <c r="E308" s="35"/>
      <c r="F308" s="35"/>
    </row>
    <row r="309">
      <c r="E309" s="35"/>
      <c r="F309" s="35"/>
    </row>
    <row r="310">
      <c r="E310" s="35"/>
      <c r="F310" s="35"/>
    </row>
    <row r="311">
      <c r="E311" s="35"/>
      <c r="F311" s="35"/>
    </row>
    <row r="312">
      <c r="E312" s="35"/>
      <c r="F312" s="35"/>
    </row>
    <row r="313">
      <c r="E313" s="35"/>
      <c r="F313" s="35"/>
    </row>
    <row r="314">
      <c r="E314" s="35"/>
      <c r="F314" s="35"/>
    </row>
    <row r="315">
      <c r="E315" s="35"/>
      <c r="F315" s="35"/>
    </row>
    <row r="316">
      <c r="E316" s="35"/>
      <c r="F316" s="35"/>
    </row>
    <row r="317">
      <c r="E317" s="35"/>
      <c r="F317" s="35"/>
    </row>
    <row r="318">
      <c r="E318" s="35"/>
      <c r="F318" s="35"/>
    </row>
    <row r="319">
      <c r="E319" s="35"/>
      <c r="F319" s="35"/>
    </row>
    <row r="320">
      <c r="E320" s="35"/>
      <c r="F320" s="35"/>
    </row>
    <row r="321">
      <c r="E321" s="35"/>
      <c r="F321" s="35"/>
    </row>
    <row r="322">
      <c r="E322" s="35"/>
      <c r="F322" s="35"/>
    </row>
    <row r="323">
      <c r="E323" s="35"/>
      <c r="F323" s="35"/>
    </row>
    <row r="324">
      <c r="E324" s="35"/>
      <c r="F324" s="35"/>
    </row>
    <row r="325">
      <c r="E325" s="35"/>
      <c r="F325" s="35"/>
    </row>
    <row r="326">
      <c r="E326" s="35"/>
      <c r="F326" s="35"/>
    </row>
    <row r="327">
      <c r="E327" s="35"/>
      <c r="F327" s="35"/>
    </row>
    <row r="328">
      <c r="E328" s="35"/>
      <c r="F328" s="35"/>
    </row>
    <row r="329">
      <c r="E329" s="35"/>
      <c r="F329" s="35"/>
    </row>
    <row r="330">
      <c r="E330" s="35"/>
      <c r="F330" s="35"/>
    </row>
    <row r="331">
      <c r="E331" s="35"/>
      <c r="F331" s="35"/>
    </row>
    <row r="332">
      <c r="E332" s="35"/>
      <c r="F332" s="35"/>
    </row>
    <row r="333">
      <c r="E333" s="35"/>
      <c r="F333" s="35"/>
    </row>
    <row r="334">
      <c r="E334" s="35"/>
      <c r="F334" s="35"/>
    </row>
    <row r="335">
      <c r="E335" s="35"/>
      <c r="F335" s="35"/>
    </row>
    <row r="336">
      <c r="E336" s="35"/>
      <c r="F336" s="35"/>
    </row>
    <row r="337">
      <c r="E337" s="35"/>
      <c r="F337" s="35"/>
    </row>
    <row r="338">
      <c r="E338" s="35"/>
      <c r="F338" s="35"/>
    </row>
    <row r="339">
      <c r="E339" s="35"/>
      <c r="F339" s="35"/>
    </row>
    <row r="340">
      <c r="E340" s="35"/>
      <c r="F340" s="35"/>
    </row>
    <row r="341">
      <c r="E341" s="35"/>
      <c r="F341" s="35"/>
    </row>
    <row r="342">
      <c r="E342" s="35"/>
      <c r="F342" s="35"/>
    </row>
    <row r="343">
      <c r="E343" s="35"/>
      <c r="F343" s="35"/>
    </row>
    <row r="344">
      <c r="E344" s="35"/>
      <c r="F344" s="35"/>
    </row>
    <row r="345">
      <c r="E345" s="35"/>
      <c r="F345" s="35"/>
    </row>
    <row r="346">
      <c r="E346" s="35"/>
      <c r="F346" s="35"/>
    </row>
    <row r="347">
      <c r="E347" s="35"/>
      <c r="F347" s="35"/>
    </row>
    <row r="348">
      <c r="E348" s="35"/>
      <c r="F348" s="35"/>
    </row>
    <row r="349">
      <c r="E349" s="35"/>
      <c r="F349" s="35"/>
    </row>
    <row r="350">
      <c r="E350" s="35"/>
      <c r="F350" s="35"/>
    </row>
    <row r="351">
      <c r="E351" s="35"/>
      <c r="F351" s="35"/>
    </row>
    <row r="352">
      <c r="E352" s="35"/>
      <c r="F352" s="35"/>
    </row>
    <row r="353">
      <c r="E353" s="35"/>
      <c r="F353" s="35"/>
    </row>
    <row r="354">
      <c r="E354" s="35"/>
      <c r="F354" s="35"/>
    </row>
    <row r="355">
      <c r="E355" s="35"/>
      <c r="F355" s="35"/>
    </row>
    <row r="356">
      <c r="E356" s="35"/>
      <c r="F356" s="35"/>
    </row>
    <row r="357">
      <c r="E357" s="35"/>
      <c r="F357" s="35"/>
    </row>
    <row r="358">
      <c r="E358" s="35"/>
      <c r="F358" s="35"/>
    </row>
    <row r="359">
      <c r="E359" s="35"/>
      <c r="F359" s="35"/>
    </row>
    <row r="360">
      <c r="E360" s="35"/>
      <c r="F360" s="35"/>
    </row>
    <row r="361">
      <c r="E361" s="35"/>
      <c r="F361" s="35"/>
    </row>
    <row r="362">
      <c r="E362" s="35"/>
      <c r="F362" s="35"/>
    </row>
    <row r="363">
      <c r="E363" s="35"/>
      <c r="F363" s="35"/>
    </row>
    <row r="364">
      <c r="E364" s="35"/>
      <c r="F364" s="35"/>
    </row>
    <row r="365">
      <c r="E365" s="35"/>
      <c r="F365" s="35"/>
    </row>
    <row r="366">
      <c r="E366" s="35"/>
      <c r="F366" s="35"/>
    </row>
    <row r="367">
      <c r="E367" s="35"/>
      <c r="F367" s="35"/>
    </row>
    <row r="368">
      <c r="E368" s="35"/>
      <c r="F368" s="35"/>
    </row>
    <row r="369">
      <c r="E369" s="35"/>
      <c r="F369" s="35"/>
    </row>
    <row r="370">
      <c r="E370" s="35"/>
      <c r="F370" s="35"/>
    </row>
    <row r="371">
      <c r="E371" s="35"/>
      <c r="F371" s="35"/>
    </row>
    <row r="372">
      <c r="E372" s="35"/>
      <c r="F372" s="35"/>
    </row>
    <row r="373">
      <c r="E373" s="35"/>
      <c r="F373" s="35"/>
    </row>
    <row r="374">
      <c r="E374" s="35"/>
      <c r="F374" s="35"/>
    </row>
    <row r="375">
      <c r="E375" s="35"/>
      <c r="F375" s="35"/>
    </row>
    <row r="376">
      <c r="E376" s="35"/>
      <c r="F376" s="35"/>
    </row>
    <row r="377">
      <c r="E377" s="35"/>
      <c r="F377" s="35"/>
    </row>
    <row r="378">
      <c r="E378" s="35"/>
      <c r="F378" s="35"/>
    </row>
    <row r="379">
      <c r="E379" s="35"/>
      <c r="F379" s="35"/>
    </row>
    <row r="380">
      <c r="E380" s="35"/>
      <c r="F380" s="35"/>
    </row>
    <row r="381">
      <c r="E381" s="35"/>
      <c r="F381" s="35"/>
    </row>
    <row r="382">
      <c r="E382" s="35"/>
      <c r="F382" s="35"/>
    </row>
    <row r="383">
      <c r="E383" s="35"/>
      <c r="F383" s="35"/>
    </row>
    <row r="384">
      <c r="E384" s="35"/>
      <c r="F384" s="35"/>
    </row>
    <row r="385">
      <c r="E385" s="35"/>
      <c r="F385" s="35"/>
    </row>
    <row r="386">
      <c r="E386" s="35"/>
      <c r="F386" s="35"/>
    </row>
    <row r="387">
      <c r="E387" s="35"/>
      <c r="F387" s="35"/>
    </row>
    <row r="388">
      <c r="E388" s="35"/>
      <c r="F388" s="35"/>
    </row>
    <row r="389">
      <c r="E389" s="35"/>
      <c r="F389" s="35"/>
    </row>
    <row r="390">
      <c r="E390" s="35"/>
      <c r="F390" s="35"/>
    </row>
    <row r="391">
      <c r="E391" s="35"/>
      <c r="F391" s="35"/>
    </row>
    <row r="392">
      <c r="E392" s="35"/>
      <c r="F392" s="35"/>
    </row>
    <row r="393">
      <c r="E393" s="35"/>
      <c r="F393" s="35"/>
    </row>
    <row r="394">
      <c r="E394" s="35"/>
      <c r="F394" s="35"/>
    </row>
    <row r="395">
      <c r="E395" s="35"/>
      <c r="F395" s="35"/>
    </row>
    <row r="396">
      <c r="E396" s="35"/>
      <c r="F396" s="35"/>
    </row>
    <row r="397">
      <c r="E397" s="35"/>
      <c r="F397" s="35"/>
    </row>
    <row r="398">
      <c r="E398" s="35"/>
      <c r="F398" s="35"/>
    </row>
    <row r="399">
      <c r="E399" s="35"/>
      <c r="F399" s="35"/>
    </row>
    <row r="400">
      <c r="E400" s="35"/>
      <c r="F400" s="35"/>
    </row>
    <row r="401">
      <c r="E401" s="35"/>
      <c r="F401" s="35"/>
    </row>
    <row r="402">
      <c r="E402" s="35"/>
      <c r="F402" s="35"/>
    </row>
    <row r="403">
      <c r="E403" s="35"/>
      <c r="F403" s="35"/>
    </row>
    <row r="404">
      <c r="E404" s="35"/>
      <c r="F404" s="35"/>
    </row>
    <row r="405">
      <c r="E405" s="35"/>
      <c r="F405" s="35"/>
    </row>
    <row r="406">
      <c r="E406" s="35"/>
      <c r="F406" s="35"/>
    </row>
    <row r="407">
      <c r="E407" s="35"/>
      <c r="F407" s="35"/>
    </row>
    <row r="408">
      <c r="E408" s="35"/>
      <c r="F408" s="35"/>
    </row>
    <row r="409">
      <c r="E409" s="35"/>
      <c r="F409" s="35"/>
    </row>
    <row r="410">
      <c r="E410" s="35"/>
      <c r="F410" s="35"/>
    </row>
    <row r="411">
      <c r="E411" s="35"/>
      <c r="F411" s="35"/>
    </row>
    <row r="412">
      <c r="E412" s="35"/>
      <c r="F412" s="35"/>
    </row>
    <row r="413">
      <c r="E413" s="35"/>
      <c r="F413" s="35"/>
    </row>
    <row r="414">
      <c r="E414" s="35"/>
      <c r="F414" s="35"/>
    </row>
    <row r="415">
      <c r="E415" s="35"/>
      <c r="F415" s="35"/>
    </row>
    <row r="416">
      <c r="E416" s="35"/>
      <c r="F416" s="35"/>
    </row>
    <row r="417">
      <c r="E417" s="35"/>
      <c r="F417" s="35"/>
    </row>
    <row r="418">
      <c r="E418" s="35"/>
      <c r="F418" s="35"/>
    </row>
    <row r="419">
      <c r="E419" s="35"/>
      <c r="F419" s="35"/>
    </row>
    <row r="420">
      <c r="E420" s="35"/>
      <c r="F420" s="35"/>
    </row>
    <row r="421">
      <c r="E421" s="35"/>
      <c r="F421" s="35"/>
    </row>
    <row r="422">
      <c r="E422" s="35"/>
      <c r="F422" s="35"/>
    </row>
    <row r="423">
      <c r="E423" s="35"/>
      <c r="F423" s="35"/>
    </row>
    <row r="424">
      <c r="E424" s="35"/>
      <c r="F424" s="35"/>
    </row>
    <row r="425">
      <c r="E425" s="35"/>
      <c r="F425" s="35"/>
    </row>
    <row r="426">
      <c r="E426" s="35"/>
      <c r="F426" s="35"/>
    </row>
    <row r="427">
      <c r="E427" s="35"/>
      <c r="F427" s="35"/>
    </row>
    <row r="428">
      <c r="E428" s="35"/>
      <c r="F428" s="35"/>
    </row>
    <row r="429">
      <c r="E429" s="35"/>
      <c r="F429" s="35"/>
    </row>
    <row r="430">
      <c r="E430" s="35"/>
      <c r="F430" s="35"/>
    </row>
    <row r="431">
      <c r="E431" s="35"/>
      <c r="F431" s="35"/>
    </row>
    <row r="432">
      <c r="E432" s="35"/>
      <c r="F432" s="35"/>
    </row>
    <row r="433">
      <c r="E433" s="35"/>
      <c r="F433" s="35"/>
    </row>
    <row r="434">
      <c r="E434" s="35"/>
      <c r="F434" s="35"/>
    </row>
    <row r="435">
      <c r="E435" s="35"/>
      <c r="F435" s="35"/>
    </row>
    <row r="436">
      <c r="E436" s="35"/>
      <c r="F436" s="35"/>
    </row>
    <row r="437">
      <c r="E437" s="35"/>
      <c r="F437" s="35"/>
    </row>
    <row r="438">
      <c r="E438" s="35"/>
      <c r="F438" s="35"/>
    </row>
    <row r="439">
      <c r="E439" s="35"/>
      <c r="F439" s="35"/>
    </row>
    <row r="440">
      <c r="E440" s="35"/>
      <c r="F440" s="35"/>
    </row>
    <row r="441">
      <c r="E441" s="35"/>
      <c r="F441" s="35"/>
    </row>
    <row r="442">
      <c r="E442" s="35"/>
      <c r="F442" s="35"/>
    </row>
    <row r="443">
      <c r="E443" s="35"/>
      <c r="F443" s="35"/>
    </row>
    <row r="444">
      <c r="E444" s="35"/>
      <c r="F444" s="35"/>
    </row>
    <row r="445">
      <c r="E445" s="35"/>
      <c r="F445" s="35"/>
    </row>
    <row r="446">
      <c r="E446" s="35"/>
      <c r="F446" s="35"/>
    </row>
    <row r="447">
      <c r="E447" s="35"/>
      <c r="F447" s="35"/>
    </row>
    <row r="448">
      <c r="E448" s="35"/>
      <c r="F448" s="35"/>
    </row>
    <row r="449">
      <c r="E449" s="35"/>
      <c r="F449" s="35"/>
    </row>
    <row r="450">
      <c r="E450" s="35"/>
      <c r="F450" s="35"/>
    </row>
    <row r="451">
      <c r="E451" s="35"/>
      <c r="F451" s="35"/>
    </row>
    <row r="452">
      <c r="E452" s="35"/>
      <c r="F452" s="35"/>
    </row>
    <row r="453">
      <c r="E453" s="35"/>
      <c r="F453" s="35"/>
    </row>
    <row r="454">
      <c r="E454" s="35"/>
      <c r="F454" s="35"/>
    </row>
    <row r="455">
      <c r="E455" s="35"/>
      <c r="F455" s="35"/>
    </row>
    <row r="456">
      <c r="E456" s="35"/>
      <c r="F456" s="35"/>
    </row>
    <row r="457">
      <c r="E457" s="35"/>
      <c r="F457" s="35"/>
    </row>
    <row r="458">
      <c r="E458" s="35"/>
      <c r="F458" s="35"/>
    </row>
    <row r="459">
      <c r="E459" s="35"/>
      <c r="F459" s="35"/>
    </row>
    <row r="460">
      <c r="E460" s="35"/>
      <c r="F460" s="35"/>
    </row>
    <row r="461">
      <c r="E461" s="35"/>
      <c r="F461" s="35"/>
    </row>
    <row r="462">
      <c r="E462" s="35"/>
      <c r="F462" s="35"/>
    </row>
    <row r="463">
      <c r="E463" s="35"/>
      <c r="F463" s="35"/>
    </row>
    <row r="464">
      <c r="E464" s="35"/>
      <c r="F464" s="35"/>
    </row>
    <row r="465">
      <c r="E465" s="35"/>
      <c r="F465" s="35"/>
    </row>
    <row r="466">
      <c r="E466" s="35"/>
      <c r="F466" s="35"/>
    </row>
    <row r="467">
      <c r="E467" s="35"/>
      <c r="F467" s="35"/>
    </row>
    <row r="468">
      <c r="E468" s="35"/>
      <c r="F468" s="35"/>
    </row>
    <row r="469">
      <c r="E469" s="35"/>
      <c r="F469" s="35"/>
    </row>
    <row r="470">
      <c r="E470" s="35"/>
      <c r="F470" s="35"/>
    </row>
    <row r="471">
      <c r="E471" s="35"/>
      <c r="F471" s="35"/>
    </row>
    <row r="472">
      <c r="E472" s="35"/>
      <c r="F472" s="35"/>
    </row>
    <row r="473">
      <c r="E473" s="35"/>
      <c r="F473" s="35"/>
    </row>
    <row r="474">
      <c r="E474" s="35"/>
      <c r="F474" s="35"/>
    </row>
    <row r="475">
      <c r="E475" s="35"/>
      <c r="F475" s="35"/>
    </row>
    <row r="476">
      <c r="E476" s="35"/>
      <c r="F476" s="35"/>
    </row>
    <row r="477">
      <c r="E477" s="35"/>
      <c r="F477" s="35"/>
    </row>
    <row r="478">
      <c r="E478" s="35"/>
      <c r="F478" s="35"/>
    </row>
    <row r="479">
      <c r="E479" s="35"/>
      <c r="F479" s="35"/>
    </row>
    <row r="480">
      <c r="E480" s="35"/>
      <c r="F480" s="35"/>
    </row>
    <row r="481">
      <c r="E481" s="35"/>
      <c r="F481" s="35"/>
    </row>
    <row r="482">
      <c r="E482" s="35"/>
      <c r="F482" s="35"/>
    </row>
    <row r="483">
      <c r="E483" s="35"/>
      <c r="F483" s="35"/>
    </row>
    <row r="484">
      <c r="E484" s="35"/>
      <c r="F484" s="35"/>
    </row>
    <row r="485">
      <c r="E485" s="35"/>
      <c r="F485" s="35"/>
    </row>
    <row r="486">
      <c r="E486" s="35"/>
      <c r="F486" s="35"/>
    </row>
    <row r="487">
      <c r="E487" s="35"/>
      <c r="F487" s="35"/>
    </row>
    <row r="488">
      <c r="E488" s="35"/>
      <c r="F488" s="35"/>
    </row>
    <row r="489">
      <c r="E489" s="35"/>
      <c r="F489" s="35"/>
    </row>
    <row r="490">
      <c r="E490" s="35"/>
      <c r="F490" s="35"/>
    </row>
    <row r="491">
      <c r="E491" s="35"/>
      <c r="F491" s="35"/>
    </row>
    <row r="492">
      <c r="E492" s="35"/>
      <c r="F492" s="35"/>
    </row>
    <row r="493">
      <c r="E493" s="35"/>
      <c r="F493" s="35"/>
    </row>
    <row r="494">
      <c r="E494" s="35"/>
      <c r="F494" s="35"/>
    </row>
    <row r="495">
      <c r="E495" s="35"/>
      <c r="F495" s="35"/>
    </row>
    <row r="496">
      <c r="E496" s="35"/>
      <c r="F496" s="35"/>
    </row>
    <row r="497">
      <c r="E497" s="35"/>
      <c r="F497" s="35"/>
    </row>
    <row r="498">
      <c r="E498" s="35"/>
      <c r="F498" s="35"/>
    </row>
    <row r="499">
      <c r="E499" s="35"/>
      <c r="F499" s="35"/>
    </row>
    <row r="500">
      <c r="E500" s="35"/>
      <c r="F500" s="35"/>
    </row>
    <row r="501">
      <c r="E501" s="35"/>
      <c r="F501" s="35"/>
    </row>
    <row r="502">
      <c r="E502" s="35"/>
      <c r="F502" s="35"/>
    </row>
    <row r="503">
      <c r="E503" s="35"/>
      <c r="F503" s="35"/>
    </row>
    <row r="504">
      <c r="E504" s="35"/>
      <c r="F504" s="35"/>
    </row>
    <row r="505">
      <c r="E505" s="35"/>
      <c r="F505" s="35"/>
    </row>
    <row r="506">
      <c r="E506" s="35"/>
      <c r="F506" s="35"/>
    </row>
    <row r="507">
      <c r="E507" s="35"/>
      <c r="F507" s="35"/>
    </row>
    <row r="508">
      <c r="E508" s="35"/>
      <c r="F508" s="35"/>
    </row>
    <row r="509">
      <c r="E509" s="35"/>
      <c r="F509" s="35"/>
    </row>
    <row r="510">
      <c r="E510" s="35"/>
      <c r="F510" s="35"/>
    </row>
    <row r="511">
      <c r="E511" s="35"/>
      <c r="F511" s="35"/>
    </row>
    <row r="512">
      <c r="E512" s="35"/>
      <c r="F512" s="35"/>
    </row>
    <row r="513">
      <c r="E513" s="35"/>
      <c r="F513" s="35"/>
    </row>
    <row r="514">
      <c r="E514" s="35"/>
      <c r="F514" s="35"/>
    </row>
    <row r="515">
      <c r="E515" s="35"/>
      <c r="F515" s="35"/>
    </row>
    <row r="516">
      <c r="E516" s="35"/>
      <c r="F516" s="35"/>
    </row>
    <row r="517">
      <c r="E517" s="35"/>
      <c r="F517" s="35"/>
    </row>
    <row r="518">
      <c r="E518" s="35"/>
      <c r="F518" s="35"/>
    </row>
    <row r="519">
      <c r="E519" s="35"/>
      <c r="F519" s="35"/>
    </row>
    <row r="520">
      <c r="E520" s="35"/>
      <c r="F520" s="35"/>
    </row>
    <row r="521">
      <c r="E521" s="35"/>
      <c r="F521" s="35"/>
    </row>
    <row r="522">
      <c r="E522" s="35"/>
      <c r="F522" s="35"/>
    </row>
    <row r="523">
      <c r="E523" s="35"/>
      <c r="F523" s="35"/>
    </row>
    <row r="524">
      <c r="E524" s="35"/>
      <c r="F524" s="35"/>
    </row>
    <row r="525">
      <c r="E525" s="35"/>
      <c r="F525" s="35"/>
    </row>
    <row r="526">
      <c r="E526" s="35"/>
      <c r="F526" s="35"/>
    </row>
    <row r="527">
      <c r="E527" s="35"/>
      <c r="F527" s="35"/>
    </row>
    <row r="528">
      <c r="E528" s="35"/>
      <c r="F528" s="35"/>
    </row>
    <row r="529">
      <c r="E529" s="35"/>
      <c r="F529" s="35"/>
    </row>
    <row r="530">
      <c r="E530" s="35"/>
      <c r="F530" s="35"/>
    </row>
    <row r="531">
      <c r="E531" s="35"/>
      <c r="F531" s="35"/>
    </row>
    <row r="532">
      <c r="E532" s="35"/>
      <c r="F532" s="35"/>
    </row>
    <row r="533">
      <c r="E533" s="35"/>
      <c r="F533" s="35"/>
    </row>
    <row r="534">
      <c r="E534" s="35"/>
      <c r="F534" s="35"/>
    </row>
    <row r="535">
      <c r="E535" s="35"/>
      <c r="F535" s="35"/>
    </row>
    <row r="536">
      <c r="E536" s="35"/>
      <c r="F536" s="35"/>
    </row>
    <row r="537">
      <c r="E537" s="35"/>
      <c r="F537" s="35"/>
    </row>
    <row r="538">
      <c r="E538" s="35"/>
      <c r="F538" s="35"/>
    </row>
    <row r="539">
      <c r="E539" s="35"/>
      <c r="F539" s="35"/>
    </row>
    <row r="540">
      <c r="E540" s="35"/>
      <c r="F540" s="35"/>
    </row>
    <row r="541">
      <c r="E541" s="35"/>
      <c r="F541" s="35"/>
    </row>
    <row r="542">
      <c r="E542" s="35"/>
      <c r="F542" s="35"/>
    </row>
    <row r="543">
      <c r="E543" s="35"/>
      <c r="F543" s="35"/>
    </row>
    <row r="544">
      <c r="E544" s="35"/>
      <c r="F544" s="35"/>
    </row>
    <row r="545">
      <c r="E545" s="35"/>
      <c r="F545" s="35"/>
    </row>
    <row r="546">
      <c r="E546" s="35"/>
      <c r="F546" s="35"/>
    </row>
    <row r="547">
      <c r="E547" s="35"/>
      <c r="F547" s="35"/>
    </row>
    <row r="548">
      <c r="E548" s="35"/>
      <c r="F548" s="35"/>
    </row>
    <row r="549">
      <c r="E549" s="35"/>
      <c r="F549" s="35"/>
    </row>
    <row r="550">
      <c r="E550" s="35"/>
      <c r="F550" s="35"/>
    </row>
    <row r="551">
      <c r="E551" s="35"/>
      <c r="F551" s="35"/>
    </row>
    <row r="552">
      <c r="E552" s="35"/>
      <c r="F552" s="35"/>
    </row>
    <row r="553">
      <c r="E553" s="35"/>
      <c r="F553" s="35"/>
    </row>
    <row r="554">
      <c r="E554" s="35"/>
      <c r="F554" s="35"/>
    </row>
    <row r="555">
      <c r="E555" s="35"/>
      <c r="F555" s="35"/>
    </row>
    <row r="556">
      <c r="E556" s="35"/>
      <c r="F556" s="35"/>
    </row>
    <row r="557">
      <c r="E557" s="35"/>
      <c r="F557" s="35"/>
    </row>
    <row r="558">
      <c r="E558" s="35"/>
      <c r="F558" s="35"/>
    </row>
    <row r="559">
      <c r="E559" s="35"/>
      <c r="F559" s="35"/>
    </row>
    <row r="560">
      <c r="E560" s="35"/>
      <c r="F560" s="35"/>
    </row>
    <row r="561">
      <c r="E561" s="35"/>
      <c r="F561" s="35"/>
    </row>
    <row r="562">
      <c r="E562" s="35"/>
      <c r="F562" s="35"/>
    </row>
    <row r="563">
      <c r="E563" s="35"/>
      <c r="F563" s="35"/>
    </row>
    <row r="564">
      <c r="E564" s="35"/>
      <c r="F564" s="35"/>
    </row>
    <row r="565">
      <c r="E565" s="35"/>
      <c r="F565" s="35"/>
    </row>
    <row r="566">
      <c r="E566" s="35"/>
      <c r="F566" s="35"/>
    </row>
    <row r="567">
      <c r="E567" s="35"/>
      <c r="F567" s="35"/>
    </row>
    <row r="568">
      <c r="E568" s="35"/>
      <c r="F568" s="35"/>
    </row>
    <row r="569">
      <c r="E569" s="35"/>
      <c r="F569" s="35"/>
    </row>
    <row r="570">
      <c r="E570" s="35"/>
      <c r="F570" s="35"/>
    </row>
    <row r="571">
      <c r="E571" s="35"/>
      <c r="F571" s="35"/>
    </row>
    <row r="572">
      <c r="E572" s="35"/>
      <c r="F572" s="35"/>
    </row>
    <row r="573">
      <c r="E573" s="35"/>
      <c r="F573" s="35"/>
    </row>
    <row r="574">
      <c r="E574" s="35"/>
      <c r="F574" s="35"/>
    </row>
    <row r="575">
      <c r="E575" s="35"/>
      <c r="F575" s="35"/>
    </row>
    <row r="576">
      <c r="E576" s="35"/>
      <c r="F576" s="35"/>
    </row>
    <row r="577">
      <c r="E577" s="35"/>
      <c r="F577" s="35"/>
    </row>
    <row r="578">
      <c r="E578" s="35"/>
      <c r="F578" s="35"/>
    </row>
    <row r="579">
      <c r="E579" s="35"/>
      <c r="F579" s="35"/>
    </row>
    <row r="580">
      <c r="E580" s="35"/>
      <c r="F580" s="35"/>
    </row>
    <row r="581">
      <c r="E581" s="35"/>
      <c r="F581" s="35"/>
    </row>
    <row r="582">
      <c r="E582" s="35"/>
      <c r="F582" s="35"/>
    </row>
    <row r="583">
      <c r="E583" s="35"/>
      <c r="F583" s="35"/>
    </row>
    <row r="584">
      <c r="E584" s="35"/>
      <c r="F584" s="35"/>
    </row>
    <row r="585">
      <c r="E585" s="35"/>
      <c r="F585" s="35"/>
    </row>
    <row r="586">
      <c r="E586" s="35"/>
      <c r="F586" s="35"/>
    </row>
    <row r="587">
      <c r="E587" s="35"/>
      <c r="F587" s="35"/>
    </row>
    <row r="588">
      <c r="E588" s="35"/>
      <c r="F588" s="35"/>
    </row>
    <row r="589">
      <c r="E589" s="35"/>
      <c r="F589" s="35"/>
    </row>
    <row r="590">
      <c r="E590" s="35"/>
      <c r="F590" s="35"/>
    </row>
    <row r="591">
      <c r="E591" s="35"/>
      <c r="F591" s="35"/>
    </row>
    <row r="592">
      <c r="E592" s="35"/>
      <c r="F592" s="35"/>
    </row>
    <row r="593">
      <c r="E593" s="35"/>
      <c r="F593" s="35"/>
    </row>
    <row r="594">
      <c r="E594" s="35"/>
      <c r="F594" s="35"/>
    </row>
    <row r="595">
      <c r="E595" s="35"/>
      <c r="F595" s="35"/>
    </row>
    <row r="596">
      <c r="E596" s="35"/>
      <c r="F596" s="35"/>
    </row>
    <row r="597">
      <c r="E597" s="35"/>
      <c r="F597" s="35"/>
    </row>
    <row r="598">
      <c r="E598" s="35"/>
      <c r="F598" s="35"/>
    </row>
    <row r="599">
      <c r="E599" s="35"/>
      <c r="F599" s="35"/>
    </row>
    <row r="600">
      <c r="E600" s="35"/>
      <c r="F600" s="35"/>
    </row>
    <row r="601">
      <c r="E601" s="35"/>
      <c r="F601" s="35"/>
    </row>
    <row r="602">
      <c r="E602" s="35"/>
      <c r="F602" s="35"/>
    </row>
    <row r="603">
      <c r="E603" s="35"/>
      <c r="F603" s="35"/>
    </row>
    <row r="604">
      <c r="E604" s="35"/>
      <c r="F604" s="35"/>
    </row>
    <row r="605">
      <c r="E605" s="35"/>
      <c r="F605" s="35"/>
    </row>
    <row r="606">
      <c r="E606" s="35"/>
      <c r="F606" s="35"/>
    </row>
    <row r="607">
      <c r="E607" s="35"/>
      <c r="F607" s="35"/>
    </row>
    <row r="608">
      <c r="E608" s="35"/>
      <c r="F608" s="35"/>
    </row>
    <row r="609">
      <c r="E609" s="35"/>
      <c r="F609" s="35"/>
    </row>
    <row r="610">
      <c r="E610" s="35"/>
      <c r="F610" s="35"/>
    </row>
    <row r="611">
      <c r="E611" s="35"/>
      <c r="F611" s="35"/>
    </row>
    <row r="612">
      <c r="E612" s="35"/>
      <c r="F612" s="35"/>
    </row>
    <row r="613">
      <c r="E613" s="35"/>
      <c r="F613" s="35"/>
    </row>
    <row r="614">
      <c r="E614" s="35"/>
      <c r="F614" s="35"/>
    </row>
    <row r="615">
      <c r="E615" s="35"/>
      <c r="F615" s="35"/>
    </row>
    <row r="616">
      <c r="E616" s="35"/>
      <c r="F616" s="35"/>
    </row>
    <row r="617">
      <c r="E617" s="35"/>
      <c r="F617" s="35"/>
    </row>
    <row r="618">
      <c r="E618" s="35"/>
      <c r="F618" s="35"/>
    </row>
    <row r="619">
      <c r="E619" s="35"/>
      <c r="F619" s="35"/>
    </row>
    <row r="620">
      <c r="E620" s="35"/>
      <c r="F620" s="35"/>
    </row>
    <row r="621">
      <c r="E621" s="35"/>
      <c r="F621" s="35"/>
    </row>
    <row r="622">
      <c r="E622" s="35"/>
      <c r="F622" s="35"/>
    </row>
    <row r="623">
      <c r="E623" s="35"/>
      <c r="F623" s="35"/>
    </row>
    <row r="624">
      <c r="E624" s="35"/>
      <c r="F624" s="35"/>
    </row>
    <row r="625">
      <c r="E625" s="35"/>
      <c r="F625" s="35"/>
    </row>
    <row r="626">
      <c r="E626" s="35"/>
      <c r="F626" s="35"/>
    </row>
    <row r="627">
      <c r="E627" s="35"/>
      <c r="F627" s="35"/>
    </row>
    <row r="628">
      <c r="E628" s="35"/>
      <c r="F628" s="35"/>
    </row>
    <row r="629">
      <c r="E629" s="35"/>
      <c r="F629" s="35"/>
    </row>
    <row r="630">
      <c r="E630" s="35"/>
      <c r="F630" s="35"/>
    </row>
    <row r="631">
      <c r="E631" s="35"/>
      <c r="F631" s="35"/>
    </row>
    <row r="632">
      <c r="E632" s="35"/>
      <c r="F632" s="35"/>
    </row>
    <row r="633">
      <c r="E633" s="35"/>
      <c r="F633" s="35"/>
    </row>
    <row r="634">
      <c r="E634" s="35"/>
      <c r="F634" s="35"/>
    </row>
    <row r="635">
      <c r="E635" s="35"/>
      <c r="F635" s="35"/>
    </row>
    <row r="636">
      <c r="E636" s="35"/>
      <c r="F636" s="35"/>
    </row>
    <row r="637">
      <c r="E637" s="35"/>
      <c r="F637" s="35"/>
    </row>
    <row r="638">
      <c r="E638" s="35"/>
      <c r="F638" s="35"/>
    </row>
    <row r="639">
      <c r="E639" s="35"/>
      <c r="F639" s="35"/>
    </row>
    <row r="640">
      <c r="E640" s="35"/>
      <c r="F640" s="35"/>
    </row>
    <row r="641">
      <c r="E641" s="35"/>
      <c r="F641" s="35"/>
    </row>
    <row r="642">
      <c r="E642" s="35"/>
      <c r="F642" s="35"/>
    </row>
    <row r="643">
      <c r="E643" s="35"/>
      <c r="F643" s="35"/>
    </row>
    <row r="644">
      <c r="E644" s="35"/>
      <c r="F644" s="35"/>
    </row>
    <row r="645">
      <c r="E645" s="35"/>
      <c r="F645" s="35"/>
    </row>
    <row r="646">
      <c r="E646" s="35"/>
      <c r="F646" s="35"/>
    </row>
    <row r="647">
      <c r="E647" s="35"/>
      <c r="F647" s="35"/>
    </row>
    <row r="648">
      <c r="E648" s="35"/>
      <c r="F648" s="35"/>
    </row>
    <row r="649">
      <c r="E649" s="35"/>
      <c r="F649" s="35"/>
    </row>
    <row r="650">
      <c r="E650" s="35"/>
      <c r="F650" s="35"/>
    </row>
    <row r="651">
      <c r="E651" s="35"/>
      <c r="F651" s="35"/>
    </row>
    <row r="652">
      <c r="E652" s="35"/>
      <c r="F652" s="35"/>
    </row>
    <row r="653">
      <c r="E653" s="35"/>
      <c r="F653" s="35"/>
    </row>
    <row r="654">
      <c r="E654" s="35"/>
      <c r="F654" s="35"/>
    </row>
    <row r="655">
      <c r="E655" s="35"/>
      <c r="F655" s="35"/>
    </row>
    <row r="656">
      <c r="E656" s="35"/>
      <c r="F656" s="35"/>
    </row>
    <row r="657">
      <c r="E657" s="35"/>
      <c r="F657" s="35"/>
    </row>
    <row r="658">
      <c r="E658" s="35"/>
      <c r="F658" s="35"/>
    </row>
    <row r="659">
      <c r="E659" s="35"/>
      <c r="F659" s="35"/>
    </row>
    <row r="660">
      <c r="E660" s="35"/>
      <c r="F660" s="35"/>
    </row>
    <row r="661">
      <c r="E661" s="35"/>
      <c r="F661" s="35"/>
    </row>
    <row r="662">
      <c r="E662" s="35"/>
      <c r="F662" s="35"/>
    </row>
    <row r="663">
      <c r="E663" s="35"/>
      <c r="F663" s="35"/>
    </row>
    <row r="664">
      <c r="E664" s="35"/>
      <c r="F664" s="35"/>
    </row>
    <row r="665">
      <c r="E665" s="35"/>
      <c r="F665" s="35"/>
    </row>
    <row r="666">
      <c r="E666" s="35"/>
      <c r="F666" s="35"/>
    </row>
    <row r="667">
      <c r="E667" s="35"/>
      <c r="F667" s="35"/>
    </row>
    <row r="668">
      <c r="E668" s="35"/>
      <c r="F668" s="35"/>
    </row>
    <row r="669">
      <c r="E669" s="35"/>
      <c r="F669" s="35"/>
    </row>
    <row r="670">
      <c r="E670" s="35"/>
      <c r="F670" s="35"/>
    </row>
    <row r="671">
      <c r="E671" s="35"/>
      <c r="F671" s="35"/>
    </row>
    <row r="672">
      <c r="E672" s="35"/>
      <c r="F672" s="35"/>
    </row>
    <row r="673">
      <c r="E673" s="35"/>
      <c r="F673" s="35"/>
    </row>
    <row r="674">
      <c r="E674" s="35"/>
      <c r="F674" s="35"/>
    </row>
    <row r="675">
      <c r="E675" s="35"/>
      <c r="F675" s="35"/>
    </row>
    <row r="676">
      <c r="E676" s="35"/>
      <c r="F676" s="35"/>
    </row>
    <row r="677">
      <c r="E677" s="35"/>
      <c r="F677" s="35"/>
    </row>
    <row r="678">
      <c r="E678" s="35"/>
      <c r="F678" s="35"/>
    </row>
    <row r="679">
      <c r="E679" s="35"/>
      <c r="F679" s="35"/>
    </row>
    <row r="680">
      <c r="E680" s="35"/>
      <c r="F680" s="35"/>
    </row>
    <row r="681">
      <c r="E681" s="35"/>
      <c r="F681" s="35"/>
    </row>
    <row r="682">
      <c r="E682" s="35"/>
      <c r="F682" s="35"/>
    </row>
    <row r="683">
      <c r="E683" s="35"/>
      <c r="F683" s="35"/>
    </row>
    <row r="684">
      <c r="E684" s="35"/>
      <c r="F684" s="35"/>
    </row>
    <row r="685">
      <c r="E685" s="35"/>
      <c r="F685" s="35"/>
    </row>
    <row r="686">
      <c r="E686" s="35"/>
      <c r="F686" s="35"/>
    </row>
    <row r="687">
      <c r="E687" s="35"/>
      <c r="F687" s="35"/>
    </row>
    <row r="688">
      <c r="E688" s="35"/>
      <c r="F688" s="35"/>
    </row>
    <row r="689">
      <c r="E689" s="35"/>
      <c r="F689" s="35"/>
    </row>
    <row r="690">
      <c r="E690" s="35"/>
      <c r="F690" s="35"/>
    </row>
    <row r="691">
      <c r="E691" s="35"/>
      <c r="F691" s="35"/>
    </row>
    <row r="692">
      <c r="E692" s="35"/>
      <c r="F692" s="35"/>
    </row>
    <row r="693">
      <c r="E693" s="35"/>
      <c r="F693" s="35"/>
    </row>
    <row r="694">
      <c r="E694" s="35"/>
      <c r="F694" s="35"/>
    </row>
    <row r="695">
      <c r="E695" s="35"/>
      <c r="F695" s="35"/>
    </row>
    <row r="696">
      <c r="E696" s="35"/>
      <c r="F696" s="35"/>
    </row>
    <row r="697">
      <c r="E697" s="35"/>
      <c r="F697" s="35"/>
    </row>
    <row r="698">
      <c r="E698" s="35"/>
      <c r="F698" s="35"/>
    </row>
    <row r="699">
      <c r="E699" s="35"/>
      <c r="F699" s="35"/>
    </row>
    <row r="700">
      <c r="E700" s="35"/>
      <c r="F700" s="35"/>
    </row>
    <row r="701">
      <c r="E701" s="35"/>
      <c r="F701" s="35"/>
    </row>
    <row r="702">
      <c r="E702" s="35"/>
      <c r="F702" s="35"/>
    </row>
    <row r="703">
      <c r="E703" s="35"/>
      <c r="F703" s="35"/>
    </row>
    <row r="704">
      <c r="E704" s="35"/>
      <c r="F704" s="35"/>
    </row>
    <row r="705">
      <c r="E705" s="35"/>
      <c r="F705" s="35"/>
    </row>
    <row r="706">
      <c r="E706" s="35"/>
      <c r="F706" s="35"/>
    </row>
    <row r="707">
      <c r="E707" s="35"/>
      <c r="F707" s="35"/>
    </row>
    <row r="708">
      <c r="E708" s="35"/>
      <c r="F708" s="35"/>
    </row>
    <row r="709">
      <c r="E709" s="35"/>
      <c r="F709" s="35"/>
    </row>
    <row r="710">
      <c r="E710" s="35"/>
      <c r="F710" s="35"/>
    </row>
    <row r="711">
      <c r="E711" s="35"/>
      <c r="F711" s="35"/>
    </row>
    <row r="712">
      <c r="E712" s="35"/>
      <c r="F712" s="35"/>
    </row>
    <row r="713">
      <c r="E713" s="35"/>
      <c r="F713" s="35"/>
    </row>
    <row r="714">
      <c r="E714" s="35"/>
      <c r="F714" s="35"/>
    </row>
    <row r="715">
      <c r="E715" s="35"/>
      <c r="F715" s="35"/>
    </row>
    <row r="716">
      <c r="E716" s="35"/>
      <c r="F716" s="35"/>
    </row>
    <row r="717">
      <c r="E717" s="35"/>
      <c r="F717" s="35"/>
    </row>
    <row r="718">
      <c r="E718" s="35"/>
      <c r="F718" s="35"/>
    </row>
    <row r="719">
      <c r="E719" s="35"/>
      <c r="F719" s="35"/>
    </row>
    <row r="720">
      <c r="E720" s="35"/>
      <c r="F720" s="35"/>
    </row>
    <row r="721">
      <c r="E721" s="35"/>
      <c r="F721" s="35"/>
    </row>
    <row r="722">
      <c r="E722" s="35"/>
      <c r="F722" s="35"/>
    </row>
    <row r="723">
      <c r="E723" s="35"/>
      <c r="F723" s="35"/>
    </row>
    <row r="724">
      <c r="E724" s="35"/>
      <c r="F724" s="35"/>
    </row>
    <row r="725">
      <c r="E725" s="35"/>
      <c r="F725" s="35"/>
    </row>
    <row r="726">
      <c r="E726" s="35"/>
      <c r="F726" s="35"/>
    </row>
    <row r="727">
      <c r="E727" s="35"/>
      <c r="F727" s="35"/>
    </row>
    <row r="728">
      <c r="E728" s="35"/>
      <c r="F728" s="35"/>
    </row>
    <row r="729">
      <c r="E729" s="35"/>
      <c r="F729" s="35"/>
    </row>
    <row r="730">
      <c r="E730" s="35"/>
      <c r="F730" s="35"/>
    </row>
    <row r="731">
      <c r="E731" s="35"/>
      <c r="F731" s="35"/>
    </row>
    <row r="732">
      <c r="E732" s="35"/>
      <c r="F732" s="35"/>
    </row>
    <row r="733">
      <c r="E733" s="35"/>
      <c r="F733" s="35"/>
    </row>
    <row r="734">
      <c r="E734" s="35"/>
      <c r="F734" s="35"/>
    </row>
    <row r="735">
      <c r="E735" s="35"/>
      <c r="F735" s="35"/>
    </row>
    <row r="736">
      <c r="E736" s="35"/>
      <c r="F736" s="35"/>
    </row>
    <row r="737">
      <c r="E737" s="35"/>
      <c r="F737" s="35"/>
    </row>
    <row r="738">
      <c r="E738" s="35"/>
      <c r="F738" s="35"/>
    </row>
    <row r="739">
      <c r="E739" s="35"/>
      <c r="F739" s="35"/>
    </row>
    <row r="740">
      <c r="E740" s="35"/>
      <c r="F740" s="35"/>
    </row>
    <row r="741">
      <c r="E741" s="35"/>
      <c r="F741" s="35"/>
    </row>
    <row r="742">
      <c r="E742" s="35"/>
      <c r="F742" s="35"/>
    </row>
    <row r="743">
      <c r="E743" s="35"/>
      <c r="F743" s="35"/>
    </row>
    <row r="744">
      <c r="E744" s="35"/>
      <c r="F744" s="35"/>
    </row>
    <row r="745">
      <c r="E745" s="35"/>
      <c r="F745" s="35"/>
    </row>
    <row r="746">
      <c r="E746" s="35"/>
      <c r="F746" s="35"/>
    </row>
    <row r="747">
      <c r="E747" s="35"/>
      <c r="F747" s="35"/>
    </row>
    <row r="748">
      <c r="E748" s="35"/>
      <c r="F748" s="35"/>
    </row>
    <row r="749">
      <c r="E749" s="35"/>
      <c r="F749" s="35"/>
    </row>
    <row r="750">
      <c r="E750" s="35"/>
      <c r="F750" s="35"/>
    </row>
    <row r="751">
      <c r="E751" s="35"/>
      <c r="F751" s="35"/>
    </row>
    <row r="752">
      <c r="E752" s="35"/>
      <c r="F752" s="35"/>
    </row>
    <row r="753">
      <c r="E753" s="35"/>
      <c r="F753" s="35"/>
    </row>
    <row r="754">
      <c r="E754" s="35"/>
      <c r="F754" s="35"/>
    </row>
    <row r="755">
      <c r="E755" s="35"/>
      <c r="F755" s="35"/>
    </row>
    <row r="756">
      <c r="E756" s="35"/>
      <c r="F756" s="35"/>
    </row>
    <row r="757">
      <c r="E757" s="35"/>
      <c r="F757" s="35"/>
    </row>
    <row r="758">
      <c r="E758" s="35"/>
      <c r="F758" s="35"/>
    </row>
    <row r="759">
      <c r="E759" s="35"/>
      <c r="F759" s="35"/>
    </row>
    <row r="760">
      <c r="E760" s="35"/>
      <c r="F760" s="35"/>
    </row>
    <row r="761">
      <c r="E761" s="35"/>
      <c r="F761" s="35"/>
    </row>
    <row r="762">
      <c r="E762" s="35"/>
      <c r="F762" s="35"/>
    </row>
    <row r="763">
      <c r="E763" s="35"/>
      <c r="F763" s="35"/>
    </row>
    <row r="764">
      <c r="E764" s="35"/>
      <c r="F764" s="35"/>
    </row>
    <row r="765">
      <c r="E765" s="35"/>
      <c r="F765" s="35"/>
    </row>
    <row r="766">
      <c r="E766" s="35"/>
      <c r="F766" s="35"/>
    </row>
    <row r="767">
      <c r="E767" s="35"/>
      <c r="F767" s="35"/>
    </row>
    <row r="768">
      <c r="E768" s="35"/>
      <c r="F768" s="35"/>
    </row>
    <row r="769">
      <c r="E769" s="35"/>
      <c r="F769" s="35"/>
    </row>
    <row r="770">
      <c r="E770" s="35"/>
      <c r="F770" s="35"/>
    </row>
    <row r="771">
      <c r="E771" s="35"/>
      <c r="F771" s="35"/>
    </row>
    <row r="772">
      <c r="E772" s="35"/>
      <c r="F772" s="35"/>
    </row>
    <row r="773">
      <c r="E773" s="35"/>
      <c r="F773" s="35"/>
    </row>
    <row r="774">
      <c r="E774" s="35"/>
      <c r="F774" s="35"/>
    </row>
    <row r="775">
      <c r="E775" s="35"/>
      <c r="F775" s="35"/>
    </row>
    <row r="776">
      <c r="E776" s="35"/>
      <c r="F776" s="35"/>
    </row>
    <row r="777">
      <c r="E777" s="35"/>
      <c r="F777" s="35"/>
    </row>
    <row r="778">
      <c r="E778" s="35"/>
      <c r="F778" s="35"/>
    </row>
    <row r="779">
      <c r="E779" s="35"/>
      <c r="F779" s="35"/>
    </row>
    <row r="780">
      <c r="E780" s="35"/>
      <c r="F780" s="35"/>
    </row>
    <row r="781">
      <c r="E781" s="35"/>
      <c r="F781" s="35"/>
    </row>
    <row r="782">
      <c r="E782" s="35"/>
      <c r="F782" s="35"/>
    </row>
    <row r="783">
      <c r="E783" s="35"/>
      <c r="F783" s="35"/>
    </row>
    <row r="784">
      <c r="E784" s="35"/>
      <c r="F784" s="35"/>
    </row>
    <row r="785">
      <c r="E785" s="35"/>
      <c r="F785" s="35"/>
    </row>
    <row r="786">
      <c r="E786" s="35"/>
      <c r="F786" s="35"/>
    </row>
    <row r="787">
      <c r="E787" s="35"/>
      <c r="F787" s="35"/>
    </row>
    <row r="788">
      <c r="E788" s="35"/>
      <c r="F788" s="35"/>
    </row>
    <row r="789">
      <c r="E789" s="35"/>
      <c r="F789" s="35"/>
    </row>
    <row r="790">
      <c r="E790" s="35"/>
      <c r="F790" s="35"/>
    </row>
    <row r="791">
      <c r="E791" s="35"/>
      <c r="F791" s="35"/>
    </row>
    <row r="792">
      <c r="E792" s="35"/>
      <c r="F792" s="35"/>
    </row>
    <row r="793">
      <c r="E793" s="35"/>
      <c r="F793" s="35"/>
    </row>
    <row r="794">
      <c r="E794" s="35"/>
      <c r="F794" s="35"/>
    </row>
    <row r="795">
      <c r="E795" s="35"/>
      <c r="F795" s="35"/>
    </row>
    <row r="796">
      <c r="E796" s="35"/>
      <c r="F796" s="35"/>
    </row>
    <row r="797">
      <c r="E797" s="35"/>
      <c r="F797" s="35"/>
    </row>
    <row r="798">
      <c r="E798" s="35"/>
      <c r="F798" s="35"/>
    </row>
    <row r="799">
      <c r="E799" s="35"/>
      <c r="F799" s="35"/>
    </row>
    <row r="800">
      <c r="E800" s="35"/>
      <c r="F800" s="35"/>
    </row>
    <row r="801">
      <c r="E801" s="35"/>
      <c r="F801" s="35"/>
    </row>
    <row r="802">
      <c r="E802" s="35"/>
      <c r="F802" s="35"/>
    </row>
    <row r="803">
      <c r="E803" s="35"/>
      <c r="F803" s="35"/>
    </row>
    <row r="804">
      <c r="E804" s="35"/>
      <c r="F804" s="35"/>
    </row>
    <row r="805">
      <c r="E805" s="35"/>
      <c r="F805" s="35"/>
    </row>
    <row r="806">
      <c r="E806" s="35"/>
      <c r="F806" s="35"/>
    </row>
    <row r="807">
      <c r="E807" s="35"/>
      <c r="F807" s="35"/>
    </row>
    <row r="808">
      <c r="E808" s="35"/>
      <c r="F808" s="35"/>
    </row>
    <row r="809">
      <c r="E809" s="35"/>
      <c r="F809" s="35"/>
    </row>
    <row r="810">
      <c r="E810" s="35"/>
      <c r="F810" s="35"/>
    </row>
    <row r="811">
      <c r="E811" s="35"/>
      <c r="F811" s="35"/>
    </row>
    <row r="812">
      <c r="E812" s="35"/>
      <c r="F812" s="35"/>
    </row>
    <row r="813">
      <c r="E813" s="35"/>
      <c r="F813" s="35"/>
    </row>
    <row r="814">
      <c r="E814" s="35"/>
      <c r="F814" s="35"/>
    </row>
    <row r="815">
      <c r="E815" s="35"/>
      <c r="F815" s="35"/>
    </row>
    <row r="816">
      <c r="E816" s="35"/>
      <c r="F816" s="35"/>
    </row>
    <row r="817">
      <c r="E817" s="35"/>
      <c r="F817" s="35"/>
    </row>
    <row r="818">
      <c r="E818" s="35"/>
      <c r="F818" s="35"/>
    </row>
    <row r="819">
      <c r="E819" s="35"/>
      <c r="F819" s="35"/>
    </row>
    <row r="820">
      <c r="E820" s="35"/>
      <c r="F820" s="35"/>
    </row>
    <row r="821">
      <c r="E821" s="35"/>
      <c r="F821" s="35"/>
    </row>
    <row r="822">
      <c r="E822" s="35"/>
      <c r="F822" s="35"/>
    </row>
    <row r="823">
      <c r="E823" s="35"/>
      <c r="F823" s="35"/>
    </row>
    <row r="824">
      <c r="E824" s="35"/>
      <c r="F824" s="35"/>
    </row>
    <row r="825">
      <c r="E825" s="35"/>
      <c r="F825" s="35"/>
    </row>
    <row r="826">
      <c r="E826" s="35"/>
      <c r="F826" s="35"/>
    </row>
    <row r="827">
      <c r="E827" s="35"/>
      <c r="F827" s="35"/>
    </row>
    <row r="828">
      <c r="E828" s="35"/>
      <c r="F828" s="35"/>
    </row>
    <row r="829">
      <c r="E829" s="35"/>
      <c r="F829" s="35"/>
    </row>
    <row r="830">
      <c r="E830" s="35"/>
      <c r="F830" s="35"/>
    </row>
    <row r="831">
      <c r="E831" s="35"/>
      <c r="F831" s="35"/>
    </row>
    <row r="832">
      <c r="E832" s="35"/>
      <c r="F832" s="35"/>
    </row>
    <row r="833">
      <c r="E833" s="35"/>
      <c r="F833" s="35"/>
    </row>
    <row r="834">
      <c r="E834" s="35"/>
      <c r="F834" s="35"/>
    </row>
    <row r="835">
      <c r="E835" s="35"/>
      <c r="F835" s="35"/>
    </row>
    <row r="836">
      <c r="E836" s="35"/>
      <c r="F836" s="35"/>
    </row>
    <row r="837">
      <c r="E837" s="35"/>
      <c r="F837" s="35"/>
    </row>
    <row r="838">
      <c r="E838" s="35"/>
      <c r="F838" s="35"/>
    </row>
    <row r="839">
      <c r="E839" s="35"/>
      <c r="F839" s="35"/>
    </row>
    <row r="840">
      <c r="E840" s="35"/>
      <c r="F840" s="35"/>
    </row>
    <row r="841">
      <c r="E841" s="35"/>
      <c r="F841" s="35"/>
    </row>
    <row r="842">
      <c r="E842" s="35"/>
      <c r="F842" s="35"/>
    </row>
    <row r="843">
      <c r="E843" s="35"/>
      <c r="F843" s="35"/>
    </row>
    <row r="844">
      <c r="E844" s="35"/>
      <c r="F844" s="35"/>
    </row>
    <row r="845">
      <c r="E845" s="35"/>
      <c r="F845" s="35"/>
    </row>
    <row r="846">
      <c r="E846" s="35"/>
      <c r="F846" s="35"/>
    </row>
    <row r="847">
      <c r="E847" s="35"/>
      <c r="F847" s="35"/>
    </row>
    <row r="848">
      <c r="E848" s="35"/>
      <c r="F848" s="35"/>
    </row>
    <row r="849">
      <c r="E849" s="35"/>
      <c r="F849" s="35"/>
    </row>
    <row r="850">
      <c r="E850" s="35"/>
      <c r="F850" s="35"/>
    </row>
    <row r="851">
      <c r="E851" s="35"/>
      <c r="F851" s="35"/>
    </row>
    <row r="852">
      <c r="E852" s="35"/>
      <c r="F852" s="35"/>
    </row>
    <row r="853">
      <c r="E853" s="35"/>
      <c r="F853" s="35"/>
    </row>
    <row r="854">
      <c r="E854" s="35"/>
      <c r="F854" s="35"/>
    </row>
    <row r="855">
      <c r="E855" s="35"/>
      <c r="F855" s="35"/>
    </row>
    <row r="856">
      <c r="E856" s="35"/>
      <c r="F856" s="35"/>
    </row>
    <row r="857">
      <c r="E857" s="35"/>
      <c r="F857" s="35"/>
    </row>
    <row r="858">
      <c r="E858" s="35"/>
      <c r="F858" s="35"/>
    </row>
    <row r="859">
      <c r="E859" s="35"/>
      <c r="F859" s="35"/>
    </row>
    <row r="860">
      <c r="E860" s="35"/>
      <c r="F860" s="35"/>
    </row>
    <row r="861">
      <c r="E861" s="35"/>
      <c r="F861" s="35"/>
    </row>
    <row r="862">
      <c r="E862" s="35"/>
      <c r="F862" s="35"/>
    </row>
    <row r="863">
      <c r="E863" s="35"/>
      <c r="F863" s="35"/>
    </row>
    <row r="864">
      <c r="E864" s="35"/>
      <c r="F864" s="35"/>
    </row>
    <row r="865">
      <c r="E865" s="35"/>
      <c r="F865" s="35"/>
    </row>
    <row r="866">
      <c r="E866" s="35"/>
      <c r="F866" s="35"/>
    </row>
    <row r="867">
      <c r="E867" s="35"/>
      <c r="F867" s="35"/>
    </row>
    <row r="868">
      <c r="E868" s="35"/>
      <c r="F868" s="35"/>
    </row>
    <row r="869">
      <c r="E869" s="35"/>
      <c r="F869" s="35"/>
    </row>
    <row r="870">
      <c r="E870" s="35"/>
      <c r="F870" s="35"/>
    </row>
    <row r="871">
      <c r="E871" s="35"/>
      <c r="F871" s="35"/>
    </row>
    <row r="872">
      <c r="E872" s="35"/>
      <c r="F872" s="35"/>
    </row>
    <row r="873">
      <c r="E873" s="35"/>
      <c r="F873" s="35"/>
    </row>
    <row r="874">
      <c r="E874" s="35"/>
      <c r="F874" s="35"/>
    </row>
    <row r="875">
      <c r="E875" s="35"/>
      <c r="F875" s="35"/>
    </row>
    <row r="876">
      <c r="E876" s="35"/>
      <c r="F876" s="35"/>
    </row>
    <row r="877">
      <c r="E877" s="35"/>
      <c r="F877" s="35"/>
    </row>
    <row r="878">
      <c r="E878" s="35"/>
      <c r="F878" s="35"/>
    </row>
    <row r="879">
      <c r="E879" s="35"/>
      <c r="F879" s="35"/>
    </row>
    <row r="880">
      <c r="E880" s="35"/>
      <c r="F880" s="35"/>
    </row>
    <row r="881">
      <c r="E881" s="35"/>
      <c r="F881" s="35"/>
    </row>
    <row r="882">
      <c r="E882" s="35"/>
      <c r="F882" s="35"/>
    </row>
    <row r="883">
      <c r="E883" s="35"/>
      <c r="F883" s="35"/>
    </row>
    <row r="884">
      <c r="E884" s="35"/>
      <c r="F884" s="35"/>
    </row>
    <row r="885">
      <c r="E885" s="35"/>
      <c r="F885" s="35"/>
    </row>
    <row r="886">
      <c r="E886" s="35"/>
      <c r="F886" s="35"/>
    </row>
    <row r="887">
      <c r="E887" s="35"/>
      <c r="F887" s="35"/>
    </row>
    <row r="888">
      <c r="E888" s="35"/>
      <c r="F888" s="35"/>
    </row>
    <row r="889">
      <c r="E889" s="35"/>
      <c r="F889" s="35"/>
    </row>
    <row r="890">
      <c r="E890" s="35"/>
      <c r="F890" s="35"/>
    </row>
    <row r="891">
      <c r="E891" s="35"/>
      <c r="F891" s="35"/>
    </row>
    <row r="892">
      <c r="E892" s="35"/>
      <c r="F892" s="35"/>
    </row>
    <row r="893">
      <c r="E893" s="35"/>
      <c r="F893" s="35"/>
    </row>
    <row r="894">
      <c r="E894" s="35"/>
      <c r="F894" s="35"/>
    </row>
    <row r="895">
      <c r="E895" s="35"/>
      <c r="F895" s="35"/>
    </row>
    <row r="896">
      <c r="E896" s="35"/>
      <c r="F896" s="35"/>
    </row>
    <row r="897">
      <c r="E897" s="35"/>
      <c r="F897" s="35"/>
    </row>
    <row r="898">
      <c r="E898" s="35"/>
      <c r="F898" s="35"/>
    </row>
    <row r="899">
      <c r="E899" s="35"/>
      <c r="F899" s="35"/>
    </row>
    <row r="900">
      <c r="E900" s="35"/>
      <c r="F900" s="35"/>
    </row>
    <row r="901">
      <c r="E901" s="35"/>
      <c r="F901" s="35"/>
    </row>
    <row r="902">
      <c r="E902" s="35"/>
      <c r="F902" s="35"/>
    </row>
    <row r="903">
      <c r="E903" s="35"/>
      <c r="F903" s="35"/>
    </row>
    <row r="904">
      <c r="E904" s="35"/>
      <c r="F904" s="35"/>
    </row>
    <row r="905">
      <c r="E905" s="35"/>
      <c r="F905" s="35"/>
    </row>
    <row r="906">
      <c r="E906" s="35"/>
      <c r="F906" s="35"/>
    </row>
    <row r="907">
      <c r="E907" s="35"/>
      <c r="F907" s="35"/>
    </row>
    <row r="908">
      <c r="E908" s="35"/>
      <c r="F908" s="35"/>
    </row>
    <row r="909">
      <c r="E909" s="35"/>
      <c r="F909" s="35"/>
    </row>
    <row r="910">
      <c r="E910" s="35"/>
      <c r="F910" s="35"/>
    </row>
    <row r="911">
      <c r="E911" s="35"/>
      <c r="F911" s="35"/>
    </row>
    <row r="912">
      <c r="E912" s="35"/>
      <c r="F912" s="35"/>
    </row>
    <row r="913">
      <c r="E913" s="35"/>
      <c r="F913" s="35"/>
    </row>
    <row r="914">
      <c r="E914" s="35"/>
      <c r="F914" s="35"/>
    </row>
    <row r="915">
      <c r="E915" s="35"/>
      <c r="F915" s="35"/>
    </row>
    <row r="916">
      <c r="E916" s="35"/>
      <c r="F916" s="35"/>
    </row>
    <row r="917">
      <c r="E917" s="35"/>
      <c r="F917" s="35"/>
    </row>
    <row r="918">
      <c r="E918" s="35"/>
      <c r="F918" s="35"/>
    </row>
    <row r="919">
      <c r="E919" s="35"/>
      <c r="F919" s="35"/>
    </row>
    <row r="920">
      <c r="E920" s="35"/>
      <c r="F920" s="35"/>
    </row>
    <row r="921">
      <c r="E921" s="35"/>
      <c r="F921" s="35"/>
    </row>
    <row r="922">
      <c r="E922" s="35"/>
      <c r="F922" s="35"/>
    </row>
    <row r="923">
      <c r="E923" s="35"/>
      <c r="F923" s="35"/>
    </row>
    <row r="924">
      <c r="E924" s="35"/>
      <c r="F924" s="35"/>
    </row>
    <row r="925">
      <c r="E925" s="35"/>
      <c r="F925" s="35"/>
    </row>
    <row r="926">
      <c r="E926" s="35"/>
      <c r="F926" s="35"/>
    </row>
    <row r="927">
      <c r="E927" s="35"/>
      <c r="F927" s="35"/>
    </row>
    <row r="928">
      <c r="E928" s="35"/>
      <c r="F928" s="35"/>
    </row>
    <row r="929">
      <c r="E929" s="35"/>
      <c r="F929" s="35"/>
    </row>
    <row r="930">
      <c r="E930" s="35"/>
      <c r="F930" s="35"/>
    </row>
    <row r="931">
      <c r="E931" s="35"/>
      <c r="F931" s="35"/>
    </row>
    <row r="932">
      <c r="E932" s="35"/>
      <c r="F932" s="35"/>
    </row>
    <row r="933">
      <c r="E933" s="35"/>
      <c r="F933" s="35"/>
    </row>
    <row r="934">
      <c r="E934" s="35"/>
      <c r="F934" s="35"/>
    </row>
    <row r="935">
      <c r="E935" s="35"/>
      <c r="F935" s="35"/>
    </row>
    <row r="936">
      <c r="E936" s="35"/>
      <c r="F936" s="35"/>
    </row>
    <row r="937">
      <c r="E937" s="35"/>
      <c r="F937" s="35"/>
    </row>
    <row r="938">
      <c r="E938" s="35"/>
      <c r="F938" s="35"/>
    </row>
    <row r="939">
      <c r="E939" s="35"/>
      <c r="F939" s="35"/>
    </row>
    <row r="940">
      <c r="E940" s="35"/>
      <c r="F940" s="35"/>
    </row>
    <row r="941">
      <c r="E941" s="35"/>
      <c r="F941" s="35"/>
    </row>
    <row r="942">
      <c r="E942" s="35"/>
      <c r="F942" s="35"/>
    </row>
    <row r="943">
      <c r="E943" s="35"/>
      <c r="F943" s="35"/>
    </row>
    <row r="944">
      <c r="E944" s="35"/>
      <c r="F944" s="35"/>
    </row>
    <row r="945">
      <c r="E945" s="35"/>
      <c r="F945" s="35"/>
    </row>
    <row r="946">
      <c r="E946" s="35"/>
      <c r="F946" s="35"/>
    </row>
    <row r="947">
      <c r="E947" s="35"/>
      <c r="F947" s="35"/>
    </row>
    <row r="948">
      <c r="E948" s="35"/>
      <c r="F948" s="35"/>
    </row>
    <row r="949">
      <c r="E949" s="35"/>
      <c r="F949" s="35"/>
    </row>
    <row r="950">
      <c r="E950" s="35"/>
      <c r="F950" s="35"/>
    </row>
    <row r="951">
      <c r="E951" s="35"/>
      <c r="F951" s="35"/>
    </row>
    <row r="952">
      <c r="E952" s="35"/>
      <c r="F952" s="35"/>
    </row>
    <row r="953">
      <c r="E953" s="35"/>
      <c r="F953" s="35"/>
    </row>
    <row r="954">
      <c r="E954" s="35"/>
      <c r="F954" s="35"/>
    </row>
    <row r="955">
      <c r="E955" s="35"/>
      <c r="F955" s="35"/>
    </row>
    <row r="956">
      <c r="E956" s="35"/>
      <c r="F956" s="35"/>
    </row>
    <row r="957">
      <c r="E957" s="35"/>
      <c r="F957" s="35"/>
    </row>
    <row r="958">
      <c r="E958" s="35"/>
      <c r="F958" s="35"/>
    </row>
    <row r="959">
      <c r="E959" s="35"/>
      <c r="F959" s="35"/>
    </row>
    <row r="960">
      <c r="E960" s="35"/>
      <c r="F960" s="35"/>
    </row>
    <row r="961">
      <c r="E961" s="35"/>
      <c r="F961" s="35"/>
    </row>
    <row r="962">
      <c r="E962" s="35"/>
      <c r="F962" s="35"/>
    </row>
    <row r="963">
      <c r="E963" s="35"/>
      <c r="F963" s="35"/>
    </row>
    <row r="964">
      <c r="E964" s="35"/>
      <c r="F964" s="35"/>
    </row>
    <row r="965">
      <c r="E965" s="35"/>
      <c r="F965" s="35"/>
    </row>
    <row r="966">
      <c r="E966" s="35"/>
      <c r="F966" s="35"/>
    </row>
    <row r="967">
      <c r="E967" s="35"/>
      <c r="F967" s="35"/>
    </row>
    <row r="968">
      <c r="E968" s="35"/>
      <c r="F968" s="35"/>
    </row>
    <row r="969">
      <c r="E969" s="35"/>
      <c r="F969" s="35"/>
    </row>
    <row r="970">
      <c r="E970" s="35"/>
      <c r="F970" s="35"/>
    </row>
    <row r="971">
      <c r="E971" s="35"/>
      <c r="F971" s="35"/>
    </row>
    <row r="972">
      <c r="E972" s="35"/>
      <c r="F972" s="35"/>
    </row>
    <row r="973">
      <c r="E973" s="35"/>
      <c r="F973" s="35"/>
    </row>
    <row r="974">
      <c r="E974" s="35"/>
      <c r="F974" s="35"/>
    </row>
    <row r="975">
      <c r="E975" s="35"/>
      <c r="F975" s="35"/>
    </row>
    <row r="976">
      <c r="E976" s="35"/>
      <c r="F976" s="35"/>
    </row>
    <row r="977">
      <c r="E977" s="35"/>
      <c r="F977" s="35"/>
    </row>
    <row r="978">
      <c r="E978" s="35"/>
      <c r="F978" s="35"/>
    </row>
    <row r="979">
      <c r="E979" s="35"/>
      <c r="F979" s="35"/>
    </row>
    <row r="980">
      <c r="E980" s="35"/>
      <c r="F980" s="35"/>
    </row>
    <row r="981">
      <c r="E981" s="35"/>
      <c r="F981" s="35"/>
    </row>
    <row r="982">
      <c r="E982" s="35"/>
      <c r="F982" s="35"/>
    </row>
    <row r="983">
      <c r="E983" s="35"/>
      <c r="F983" s="35"/>
    </row>
    <row r="984">
      <c r="E984" s="35"/>
      <c r="F984" s="35"/>
    </row>
    <row r="985">
      <c r="E985" s="35"/>
      <c r="F985" s="35"/>
    </row>
    <row r="986">
      <c r="E986" s="35"/>
      <c r="F986" s="35"/>
    </row>
    <row r="987">
      <c r="E987" s="35"/>
      <c r="F987" s="35"/>
    </row>
    <row r="988">
      <c r="E988" s="35"/>
      <c r="F988" s="35"/>
    </row>
    <row r="989">
      <c r="E989" s="35"/>
      <c r="F989" s="35"/>
    </row>
    <row r="990">
      <c r="E990" s="35"/>
      <c r="F990" s="35"/>
    </row>
    <row r="991">
      <c r="E991" s="35"/>
      <c r="F991" s="35"/>
    </row>
    <row r="992">
      <c r="E992" s="35"/>
      <c r="F992" s="35"/>
    </row>
    <row r="993">
      <c r="E993" s="35"/>
      <c r="F993" s="35"/>
    </row>
    <row r="994">
      <c r="E994" s="35"/>
      <c r="F994" s="35"/>
    </row>
    <row r="995">
      <c r="E995" s="35"/>
      <c r="F995" s="35"/>
    </row>
    <row r="996">
      <c r="E996" s="35"/>
      <c r="F996" s="35"/>
    </row>
    <row r="997">
      <c r="E997" s="35"/>
      <c r="F997" s="35"/>
    </row>
    <row r="998">
      <c r="E998" s="35"/>
      <c r="F998" s="35"/>
    </row>
    <row r="999">
      <c r="E999" s="35"/>
      <c r="F999" s="35"/>
    </row>
    <row r="1000">
      <c r="E1000" s="35"/>
      <c r="F1000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58.0"/>
    <col customWidth="1" min="3" max="3" width="17.25"/>
    <col customWidth="1" min="4" max="4" width="14.63"/>
    <col customWidth="1" min="5" max="5" width="21.13"/>
  </cols>
  <sheetData>
    <row r="1">
      <c r="A1" s="40"/>
      <c r="B1" s="40"/>
      <c r="C1" s="40"/>
      <c r="D1" s="40"/>
      <c r="E1" s="4">
        <f>SUM(Biz_First[Amount])</f>
        <v>0</v>
      </c>
    </row>
    <row r="2" ht="22.5" customHeight="1">
      <c r="A2" s="29" t="s">
        <v>0</v>
      </c>
      <c r="B2" s="29" t="s">
        <v>2</v>
      </c>
      <c r="C2" s="29" t="s">
        <v>3</v>
      </c>
      <c r="D2" s="29" t="s">
        <v>247</v>
      </c>
      <c r="E2" s="29" t="s">
        <v>8</v>
      </c>
    </row>
    <row r="3" ht="22.5" customHeight="1">
      <c r="A3" s="26">
        <f>IFERROR(__xludf.DUMMYFUNCTION("FILTER(Transactions!A:A, Transactions!E:E=""HDFC BizFirst"")"),45992.0)</f>
        <v>45992</v>
      </c>
      <c r="B3" s="9" t="str">
        <f>IFERROR(__xludf.DUMMYFUNCTION("FILTER(Transactions!C:C, Transactions!E:E=""HDFC BizFirst"")"),"CC PAYMENT 154574505117 PayZapp (Ref# 00000000001201022086113)")</f>
        <v>CC PAYMENT 154574505117 PayZapp (Ref# 00000000001201022086113)</v>
      </c>
      <c r="C3" s="28" t="str">
        <f>IFERROR(__xludf.DUMMYFUNCTION("FILTER(Transactions!D:D, Transactions!E:E=""HDFC BizFirst"")"),"Credit Card Expense")</f>
        <v>Credit Card Expense</v>
      </c>
      <c r="D3" s="15">
        <f>IFERROR(__xludf.DUMMYFUNCTION("FILTER(Transactions!H:H, Transactions!E:E=""HDFC BizFirst"")"),7800.0)</f>
        <v>7800</v>
      </c>
      <c r="E3" s="15">
        <f t="shared" ref="E3:E554" si="1">SUM($D$3:D3)</f>
        <v>7800</v>
      </c>
    </row>
    <row r="4" ht="22.5" customHeight="1">
      <c r="A4" s="26">
        <f>IFERROR(__xludf.DUMMYFUNCTION("""COMPUTED_VALUE"""),45992.0)</f>
        <v>45992</v>
      </c>
      <c r="B4" s="9" t="str">
        <f>IFERROR(__xludf.DUMMYFUNCTION("""COMPUTED_VALUE"""),"CC PAYMENT 714618639801 PayZapp (Ref# 00000000001201018741291)")</f>
        <v>CC PAYMENT 714618639801 PayZapp (Ref# 00000000001201018741291)</v>
      </c>
      <c r="C4" s="41" t="str">
        <f>IFERROR(__xludf.DUMMYFUNCTION("""COMPUTED_VALUE"""),"Credit Card Expense")</f>
        <v>Credit Card Expense</v>
      </c>
      <c r="D4" s="15">
        <f>IFERROR(__xludf.DUMMYFUNCTION("""COMPUTED_VALUE"""),3729.67)</f>
        <v>3729.67</v>
      </c>
      <c r="E4" s="15">
        <f t="shared" si="1"/>
        <v>11529.67</v>
      </c>
    </row>
    <row r="5" ht="22.5" customHeight="1">
      <c r="A5" s="26">
        <f>IFERROR(__xludf.DUMMYFUNCTION("""COMPUTED_VALUE"""),45992.0)</f>
        <v>45992</v>
      </c>
      <c r="B5" s="9" t="str">
        <f>IFERROR(__xludf.DUMMYFUNCTION("""COMPUTED_VALUE"""),"Previous Balance Carry Over")</f>
        <v>Previous Balance Carry Over</v>
      </c>
      <c r="C5" s="41" t="str">
        <f>IFERROR(__xludf.DUMMYFUNCTION("""COMPUTED_VALUE"""),"Credit Card Expense")</f>
        <v>Credit Card Expense</v>
      </c>
      <c r="D5" s="15">
        <f>IFERROR(__xludf.DUMMYFUNCTION("""COMPUTED_VALUE"""),-9930.0)</f>
        <v>-9930</v>
      </c>
      <c r="E5" s="15">
        <f t="shared" si="1"/>
        <v>1599.67</v>
      </c>
    </row>
    <row r="6" ht="22.5" customHeight="1">
      <c r="A6" s="26">
        <f>IFERROR(__xludf.DUMMYFUNCTION("""COMPUTED_VALUE"""),45993.0)</f>
        <v>45993</v>
      </c>
      <c r="B6" s="9" t="str">
        <f>IFERROR(__xludf.DUMMYFUNCTION("""COMPUTED_VALUE"""),"GOOGLE PLAYMUMBAI")</f>
        <v>GOOGLE PLAYMUMBAI</v>
      </c>
      <c r="C6" s="41" t="str">
        <f>IFERROR(__xludf.DUMMYFUNCTION("""COMPUTED_VALUE"""),"Living Expense")</f>
        <v>Living Expense</v>
      </c>
      <c r="D6" s="15">
        <f>IFERROR(__xludf.DUMMYFUNCTION("""COMPUTED_VALUE"""),-400.0)</f>
        <v>-400</v>
      </c>
      <c r="E6" s="15">
        <f t="shared" si="1"/>
        <v>1199.67</v>
      </c>
    </row>
    <row r="7" ht="22.5" customHeight="1">
      <c r="A7" s="26">
        <f>IFERROR(__xludf.DUMMYFUNCTION("""COMPUTED_VALUE"""),45993.0)</f>
        <v>45993</v>
      </c>
      <c r="B7" s="9" t="str">
        <f>IFERROR(__xludf.DUMMYFUNCTION("""COMPUTED_VALUE"""),"GOOGLE PLAYMUMBAI")</f>
        <v>GOOGLE PLAYMUMBAI</v>
      </c>
      <c r="C7" s="41" t="str">
        <f>IFERROR(__xludf.DUMMYFUNCTION("""COMPUTED_VALUE"""),"Living Expense")</f>
        <v>Living Expense</v>
      </c>
      <c r="D7" s="15">
        <f>IFERROR(__xludf.DUMMYFUNCTION("""COMPUTED_VALUE"""),-400.0)</f>
        <v>-400</v>
      </c>
      <c r="E7" s="15">
        <f t="shared" si="1"/>
        <v>799.67</v>
      </c>
    </row>
    <row r="8" ht="22.5" customHeight="1">
      <c r="A8" s="26">
        <f>IFERROR(__xludf.DUMMYFUNCTION("""COMPUTED_VALUE"""),45993.0)</f>
        <v>45993</v>
      </c>
      <c r="B8" s="9" t="str">
        <f>IFERROR(__xludf.DUMMYFUNCTION("""COMPUTED_VALUE"""),"GOOGLE PLAYMUMBAI")</f>
        <v>GOOGLE PLAYMUMBAI</v>
      </c>
      <c r="C8" s="41" t="str">
        <f>IFERROR(__xludf.DUMMYFUNCTION("""COMPUTED_VALUE"""),"Living Expense")</f>
        <v>Living Expense</v>
      </c>
      <c r="D8" s="15">
        <f>IFERROR(__xludf.DUMMYFUNCTION("""COMPUTED_VALUE"""),-800.0)</f>
        <v>-800</v>
      </c>
      <c r="E8" s="15">
        <f t="shared" si="1"/>
        <v>-0.33</v>
      </c>
    </row>
    <row r="9" ht="22.5" customHeight="1">
      <c r="A9" s="26">
        <f>IFERROR(__xludf.DUMMYFUNCTION("""COMPUTED_VALUE"""),45997.0)</f>
        <v>45997</v>
      </c>
      <c r="B9" s="9" t="str">
        <f>IFERROR(__xludf.DUMMYFUNCTION("""COMPUTED_VALUE"""),"GYFTR SMARTBUY ONENEW DELHI")</f>
        <v>GYFTR SMARTBUY ONENEW DELHI</v>
      </c>
      <c r="C9" s="41" t="str">
        <f>IFERROR(__xludf.DUMMYFUNCTION("""COMPUTED_VALUE"""),"Living Expense")</f>
        <v>Living Expense</v>
      </c>
      <c r="D9" s="15">
        <f>IFERROR(__xludf.DUMMYFUNCTION("""COMPUTED_VALUE"""),-260.33)</f>
        <v>-260.33</v>
      </c>
      <c r="E9" s="15">
        <f t="shared" si="1"/>
        <v>-260.66</v>
      </c>
    </row>
    <row r="10" ht="22.5" customHeight="1">
      <c r="A10" s="26">
        <f>IFERROR(__xludf.DUMMYFUNCTION("""COMPUTED_VALUE"""),45999.0)</f>
        <v>45999</v>
      </c>
      <c r="B10" s="9" t="str">
        <f>IFERROR(__xludf.DUMMYFUNCTION("""COMPUTED_VALUE"""),"CC PAYMENT 935202839141 PayZapp (Ref# 00000000001208018304491)")</f>
        <v>CC PAYMENT 935202839141 PayZapp (Ref# 00000000001208018304491)</v>
      </c>
      <c r="C10" s="41" t="str">
        <f>IFERROR(__xludf.DUMMYFUNCTION("""COMPUTED_VALUE"""),"Living Expense")</f>
        <v>Living Expense</v>
      </c>
      <c r="D10" s="15">
        <f>IFERROR(__xludf.DUMMYFUNCTION("""COMPUTED_VALUE"""),260.33)</f>
        <v>260.33</v>
      </c>
      <c r="E10" s="15">
        <f t="shared" si="1"/>
        <v>-0.33</v>
      </c>
    </row>
    <row r="11" ht="22.5" customHeight="1">
      <c r="A11" s="26">
        <f>IFERROR(__xludf.DUMMYFUNCTION("""COMPUTED_VALUE"""),45999.0)</f>
        <v>45999</v>
      </c>
      <c r="B11" s="9" t="str">
        <f>IFERROR(__xludf.DUMMYFUNCTION("""COMPUTED_VALUE"""),"SmartBuy_Bonus_5per_CB0000")</f>
        <v>SmartBuy_Bonus_5per_CB0000</v>
      </c>
      <c r="C11" s="41" t="str">
        <f>IFERROR(__xludf.DUMMYFUNCTION("""COMPUTED_VALUE"""),"Living Expense")</f>
        <v>Living Expense</v>
      </c>
      <c r="D11" s="15">
        <f>IFERROR(__xludf.DUMMYFUNCTION("""COMPUTED_VALUE"""),13.02)</f>
        <v>13.02</v>
      </c>
      <c r="E11" s="15">
        <f t="shared" si="1"/>
        <v>12.69</v>
      </c>
    </row>
    <row r="12" ht="22.5" customHeight="1">
      <c r="A12" s="26">
        <f>IFERROR(__xludf.DUMMYFUNCTION("""COMPUTED_VALUE"""),46002.0)</f>
        <v>46002</v>
      </c>
      <c r="B12" s="9" t="str">
        <f>IFERROR(__xludf.DUMMYFUNCTION("""COMPUTED_VALUE"""),"AMAZON PAY INDIA PVT LTD WWW.AMAZON")</f>
        <v>AMAZON PAY INDIA PVT LTD WWW.AMAZON</v>
      </c>
      <c r="C12" s="41" t="str">
        <f>IFERROR(__xludf.DUMMYFUNCTION("""COMPUTED_VALUE"""),"Living Expense")</f>
        <v>Living Expense</v>
      </c>
      <c r="D12" s="15">
        <f>IFERROR(__xludf.DUMMYFUNCTION("""COMPUTED_VALUE"""),-152.73)</f>
        <v>-152.73</v>
      </c>
      <c r="E12" s="15">
        <f t="shared" si="1"/>
        <v>-140.04</v>
      </c>
    </row>
    <row r="13" ht="22.5" customHeight="1">
      <c r="A13" s="30">
        <f>IFERROR(__xludf.DUMMYFUNCTION("""COMPUTED_VALUE"""),46002.0)</f>
        <v>46002</v>
      </c>
      <c r="B13" s="31" t="str">
        <f>IFERROR(__xludf.DUMMYFUNCTION("""COMPUTED_VALUE"""),"CC PAYMENT 415441730931 PayZapp (Ref# 00000000001211017463763)")</f>
        <v>CC PAYMENT 415441730931 PayZapp (Ref# 00000000001211017463763)</v>
      </c>
      <c r="C13" s="42" t="str">
        <f>IFERROR(__xludf.DUMMYFUNCTION("""COMPUTED_VALUE"""),"Living Expense")</f>
        <v>Living Expense</v>
      </c>
      <c r="D13" s="32">
        <f>IFERROR(__xludf.DUMMYFUNCTION("""COMPUTED_VALUE"""),160.36)</f>
        <v>160.36</v>
      </c>
      <c r="E13" s="15">
        <f t="shared" si="1"/>
        <v>20.32</v>
      </c>
    </row>
    <row r="14" ht="22.5" customHeight="1">
      <c r="A14" s="30">
        <f>IFERROR(__xludf.DUMMYFUNCTION("""COMPUTED_VALUE"""),46002.0)</f>
        <v>46002</v>
      </c>
      <c r="B14" s="31" t="str">
        <f>IFERROR(__xludf.DUMMYFUNCTION("""COMPUTED_VALUE"""),"GYFTR SMARTBUY ONENEW DELHI")</f>
        <v>GYFTR SMARTBUY ONENEW DELHI</v>
      </c>
      <c r="C14" s="42" t="str">
        <f>IFERROR(__xludf.DUMMYFUNCTION("""COMPUTED_VALUE"""),"Living Expense")</f>
        <v>Living Expense</v>
      </c>
      <c r="D14" s="32">
        <f>IFERROR(__xludf.DUMMYFUNCTION("""COMPUTED_VALUE"""),-520.65)</f>
        <v>-520.65</v>
      </c>
      <c r="E14" s="15">
        <f t="shared" si="1"/>
        <v>-500.33</v>
      </c>
    </row>
    <row r="15" ht="22.5" customHeight="1">
      <c r="A15" s="30">
        <f>IFERROR(__xludf.DUMMYFUNCTION("""COMPUTED_VALUE"""),46004.0)</f>
        <v>46004</v>
      </c>
      <c r="B15" s="31" t="str">
        <f>IFERROR(__xludf.DUMMYFUNCTION("""COMPUTED_VALUE"""),"CC PAYMENT 365640579943 PayZapp (Ref# 00000000001213018364842)")</f>
        <v>CC PAYMENT 365640579943 PayZapp (Ref# 00000000001213018364842)</v>
      </c>
      <c r="C15" s="42" t="str">
        <f>IFERROR(__xludf.DUMMYFUNCTION("""COMPUTED_VALUE"""),"Credit Card Expense")</f>
        <v>Credit Card Expense</v>
      </c>
      <c r="D15" s="32">
        <f>IFERROR(__xludf.DUMMYFUNCTION("""COMPUTED_VALUE"""),1301.32)</f>
        <v>1301.32</v>
      </c>
      <c r="E15" s="15">
        <f t="shared" si="1"/>
        <v>800.99</v>
      </c>
    </row>
    <row r="16" ht="22.5" customHeight="1">
      <c r="A16" s="30">
        <f>IFERROR(__xludf.DUMMYFUNCTION("""COMPUTED_VALUE"""),46004.0)</f>
        <v>46004</v>
      </c>
      <c r="B16" s="31" t="str">
        <f>IFERROR(__xludf.DUMMYFUNCTION("""COMPUTED_VALUE"""),"GYFTR SMARTBUY ONENEW DELHI")</f>
        <v>GYFTR SMARTBUY ONENEW DELHI</v>
      </c>
      <c r="C16" s="42" t="str">
        <f>IFERROR(__xludf.DUMMYFUNCTION("""COMPUTED_VALUE"""),"Living Expense")</f>
        <v>Living Expense</v>
      </c>
      <c r="D16" s="32">
        <f>IFERROR(__xludf.DUMMYFUNCTION("""COMPUTED_VALUE"""),-260.33)</f>
        <v>-260.33</v>
      </c>
      <c r="E16" s="15">
        <f t="shared" si="1"/>
        <v>540.66</v>
      </c>
    </row>
    <row r="17" ht="22.5" customHeight="1">
      <c r="A17" s="30">
        <f>IFERROR(__xludf.DUMMYFUNCTION("""COMPUTED_VALUE"""),46004.0)</f>
        <v>46004</v>
      </c>
      <c r="B17" s="31" t="str">
        <f>IFERROR(__xludf.DUMMYFUNCTION("""COMPUTED_VALUE"""),"GYFTR SMARTBUY ONENEW DELHI")</f>
        <v>GYFTR SMARTBUY ONENEW DELHI</v>
      </c>
      <c r="C17" s="42" t="str">
        <f>IFERROR(__xludf.DUMMYFUNCTION("""COMPUTED_VALUE"""),"Living Expense")</f>
        <v>Living Expense</v>
      </c>
      <c r="D17" s="32">
        <f>IFERROR(__xludf.DUMMYFUNCTION("""COMPUTED_VALUE"""),-260.33)</f>
        <v>-260.33</v>
      </c>
      <c r="E17" s="15">
        <f t="shared" si="1"/>
        <v>280.33</v>
      </c>
    </row>
    <row r="18" ht="22.5" customHeight="1">
      <c r="A18" s="30">
        <f>IFERROR(__xludf.DUMMYFUNCTION("""COMPUTED_VALUE"""),46004.0)</f>
        <v>46004</v>
      </c>
      <c r="B18" s="31" t="str">
        <f>IFERROR(__xludf.DUMMYFUNCTION("""COMPUTED_VALUE"""),"GYFTR SMARTBUY TWONEW DELHI")</f>
        <v>GYFTR SMARTBUY TWONEW DELHI</v>
      </c>
      <c r="C18" s="42" t="str">
        <f>IFERROR(__xludf.DUMMYFUNCTION("""COMPUTED_VALUE"""),"Living Expense")</f>
        <v>Living Expense</v>
      </c>
      <c r="D18" s="32">
        <f>IFERROR(__xludf.DUMMYFUNCTION("""COMPUTED_VALUE"""),-1049.3)</f>
        <v>-1049.3</v>
      </c>
      <c r="E18" s="15">
        <f t="shared" si="1"/>
        <v>-768.97</v>
      </c>
    </row>
    <row r="19" ht="22.5" customHeight="1">
      <c r="A19" s="30">
        <f>IFERROR(__xludf.DUMMYFUNCTION("""COMPUTED_VALUE"""),46004.0)</f>
        <v>46004</v>
      </c>
      <c r="B19" s="31" t="str">
        <f>IFERROR(__xludf.DUMMYFUNCTION("""COMPUTED_VALUE"""),"HOTSTARMUMBAI")</f>
        <v>HOTSTARMUMBAI</v>
      </c>
      <c r="C19" s="42" t="str">
        <f>IFERROR(__xludf.DUMMYFUNCTION("""COMPUTED_VALUE"""),"Living Expense")</f>
        <v>Living Expense</v>
      </c>
      <c r="D19" s="32">
        <f>IFERROR(__xludf.DUMMYFUNCTION("""COMPUTED_VALUE"""),-1251.93)</f>
        <v>-1251.93</v>
      </c>
      <c r="E19" s="15">
        <f t="shared" si="1"/>
        <v>-2020.9</v>
      </c>
    </row>
    <row r="20" ht="22.5" customHeight="1">
      <c r="A20" s="30">
        <f>IFERROR(__xludf.DUMMYFUNCTION("""COMPUTED_VALUE"""),46004.0)</f>
        <v>46004</v>
      </c>
      <c r="B20" s="31" t="str">
        <f>IFERROR(__xludf.DUMMYFUNCTION("""COMPUTED_VALUE"""),"SmartBuy_Bonus_5per_CB0000")</f>
        <v>SmartBuy_Bonus_5per_CB0000</v>
      </c>
      <c r="C20" s="42" t="str">
        <f>IFERROR(__xludf.DUMMYFUNCTION("""COMPUTED_VALUE"""),"Living Expense")</f>
        <v>Living Expense</v>
      </c>
      <c r="D20" s="32">
        <f>IFERROR(__xludf.DUMMYFUNCTION("""COMPUTED_VALUE"""),26.03)</f>
        <v>26.03</v>
      </c>
      <c r="E20" s="15">
        <f t="shared" si="1"/>
        <v>-1994.87</v>
      </c>
    </row>
    <row r="21" ht="22.5" customHeight="1">
      <c r="A21" s="30">
        <f>IFERROR(__xludf.DUMMYFUNCTION("""COMPUTED_VALUE"""),46005.0)</f>
        <v>46005</v>
      </c>
      <c r="B21" s="31" t="str">
        <f>IFERROR(__xludf.DUMMYFUNCTION("""COMPUTED_VALUE"""),"GYFTR SMARTBUY ONENEW DELHI")</f>
        <v>GYFTR SMARTBUY ONENEW DELHI</v>
      </c>
      <c r="C21" s="42" t="str">
        <f>IFERROR(__xludf.DUMMYFUNCTION("""COMPUTED_VALUE"""),"Living Expense")</f>
        <v>Living Expense</v>
      </c>
      <c r="D21" s="32">
        <f>IFERROR(__xludf.DUMMYFUNCTION("""COMPUTED_VALUE"""),-2082.6)</f>
        <v>-2082.6</v>
      </c>
      <c r="E21" s="15">
        <f t="shared" si="1"/>
        <v>-4077.47</v>
      </c>
    </row>
    <row r="22" ht="22.5" customHeight="1">
      <c r="A22" s="30">
        <f>IFERROR(__xludf.DUMMYFUNCTION("""COMPUTED_VALUE"""),46005.0)</f>
        <v>46005</v>
      </c>
      <c r="B22" s="31" t="str">
        <f>IFERROR(__xludf.DUMMYFUNCTION("""COMPUTED_VALUE"""),"GYFTR SMARTBUY ONENEW DELHI")</f>
        <v>GYFTR SMARTBUY ONENEW DELHI</v>
      </c>
      <c r="C22" s="42" t="str">
        <f>IFERROR(__xludf.DUMMYFUNCTION("""COMPUTED_VALUE"""),"Living Expense")</f>
        <v>Living Expense</v>
      </c>
      <c r="D22" s="32">
        <f>IFERROR(__xludf.DUMMYFUNCTION("""COMPUTED_VALUE"""),-520.65)</f>
        <v>-520.65</v>
      </c>
      <c r="E22" s="15">
        <f t="shared" si="1"/>
        <v>-4598.12</v>
      </c>
    </row>
    <row r="23" ht="22.5" customHeight="1">
      <c r="A23" s="30">
        <f>IFERROR(__xludf.DUMMYFUNCTION("""COMPUTED_VALUE"""),46006.0)</f>
        <v>46006</v>
      </c>
      <c r="B23" s="31" t="str">
        <f>IFERROR(__xludf.DUMMYFUNCTION("""COMPUTED_VALUE"""),"CC PAYMENT 655764354110 PayZapp")</f>
        <v>CC PAYMENT 655764354110 PayZapp</v>
      </c>
      <c r="C23" s="42" t="str">
        <f>IFERROR(__xludf.DUMMYFUNCTION("""COMPUTED_VALUE"""),"Credit Card Expense")</f>
        <v>Credit Card Expense</v>
      </c>
      <c r="D23" s="32">
        <f>IFERROR(__xludf.DUMMYFUNCTION("""COMPUTED_VALUE"""),4597.79)</f>
        <v>4597.79</v>
      </c>
      <c r="E23" s="15">
        <f t="shared" si="1"/>
        <v>-0.33</v>
      </c>
    </row>
    <row r="24" ht="22.5" customHeight="1">
      <c r="A24" s="30">
        <f>IFERROR(__xludf.DUMMYFUNCTION("""COMPUTED_VALUE"""),46006.0)</f>
        <v>46006</v>
      </c>
      <c r="B24" s="31" t="str">
        <f>IFERROR(__xludf.DUMMYFUNCTION("""COMPUTED_VALUE"""),"GYFTR SMARTBUY ONENEW DELHI")</f>
        <v>GYFTR SMARTBUY ONENEW DELHI</v>
      </c>
      <c r="C24" s="42" t="str">
        <f>IFERROR(__xludf.DUMMYFUNCTION("""COMPUTED_VALUE"""),"Living Expense")</f>
        <v>Living Expense</v>
      </c>
      <c r="D24" s="32">
        <f>IFERROR(__xludf.DUMMYFUNCTION("""COMPUTED_VALUE"""),-1561.95)</f>
        <v>-1561.95</v>
      </c>
      <c r="E24" s="15">
        <f t="shared" si="1"/>
        <v>-1562.28</v>
      </c>
    </row>
    <row r="25" ht="22.5" customHeight="1">
      <c r="A25" s="30">
        <f>IFERROR(__xludf.DUMMYFUNCTION("""COMPUTED_VALUE"""),46006.0)</f>
        <v>46006</v>
      </c>
      <c r="B25" s="31" t="str">
        <f>IFERROR(__xludf.DUMMYFUNCTION("""COMPUTED_VALUE"""),"SmartBuy_Bonus_5per_CB0000")</f>
        <v>SmartBuy_Bonus_5per_CB0000</v>
      </c>
      <c r="C25" s="42" t="str">
        <f>IFERROR(__xludf.DUMMYFUNCTION("""COMPUTED_VALUE"""),"Living Expense")</f>
        <v>Living Expense</v>
      </c>
      <c r="D25" s="32">
        <f>IFERROR(__xludf.DUMMYFUNCTION("""COMPUTED_VALUE"""),13.02)</f>
        <v>13.02</v>
      </c>
      <c r="E25" s="15">
        <f t="shared" si="1"/>
        <v>-1549.26</v>
      </c>
    </row>
    <row r="26" ht="22.5" customHeight="1">
      <c r="A26" s="30">
        <f>IFERROR(__xludf.DUMMYFUNCTION("""COMPUTED_VALUE"""),46006.0)</f>
        <v>46006</v>
      </c>
      <c r="B26" s="31" t="str">
        <f>IFERROR(__xludf.DUMMYFUNCTION("""COMPUTED_VALUE"""),"SmartBuy_Bonus_5per_CB0000")</f>
        <v>SmartBuy_Bonus_5per_CB0000</v>
      </c>
      <c r="C26" s="42" t="str">
        <f>IFERROR(__xludf.DUMMYFUNCTION("""COMPUTED_VALUE"""),"Living Expense")</f>
        <v>Living Expense</v>
      </c>
      <c r="D26" s="32">
        <f>IFERROR(__xludf.DUMMYFUNCTION("""COMPUTED_VALUE"""),13.02)</f>
        <v>13.02</v>
      </c>
      <c r="E26" s="15">
        <f t="shared" si="1"/>
        <v>-1536.24</v>
      </c>
    </row>
    <row r="27" ht="22.5" customHeight="1">
      <c r="A27" s="30">
        <f>IFERROR(__xludf.DUMMYFUNCTION("""COMPUTED_VALUE"""),46006.0)</f>
        <v>46006</v>
      </c>
      <c r="B27" s="31" t="str">
        <f>IFERROR(__xludf.DUMMYFUNCTION("""COMPUTED_VALUE"""),"SmartBuy_Bonus_5per_CB0000")</f>
        <v>SmartBuy_Bonus_5per_CB0000</v>
      </c>
      <c r="C27" s="42" t="str">
        <f>IFERROR(__xludf.DUMMYFUNCTION("""COMPUTED_VALUE"""),"Living Expense")</f>
        <v>Living Expense</v>
      </c>
      <c r="D27" s="32">
        <f>IFERROR(__xludf.DUMMYFUNCTION("""COMPUTED_VALUE"""),52.47)</f>
        <v>52.47</v>
      </c>
      <c r="E27" s="15">
        <f t="shared" si="1"/>
        <v>-1483.77</v>
      </c>
    </row>
    <row r="28" ht="22.5" customHeight="1">
      <c r="A28" s="30">
        <f>IFERROR(__xludf.DUMMYFUNCTION("""COMPUTED_VALUE"""),46007.0)</f>
        <v>46007</v>
      </c>
      <c r="B28" s="31" t="str">
        <f>IFERROR(__xludf.DUMMYFUNCTION("""COMPUTED_VALUE"""),"AMAZON PAY INDIA PVT LTD WWW.A")</f>
        <v>AMAZON PAY INDIA PVT LTD WWW.A</v>
      </c>
      <c r="C28" s="42" t="str">
        <f>IFERROR(__xludf.DUMMYFUNCTION("""COMPUTED_VALUE"""),"Living Expense")</f>
        <v>Living Expense</v>
      </c>
      <c r="D28" s="32">
        <f>IFERROR(__xludf.DUMMYFUNCTION("""COMPUTED_VALUE"""),-92.25)</f>
        <v>-92.25</v>
      </c>
      <c r="E28" s="15">
        <f t="shared" si="1"/>
        <v>-1576.02</v>
      </c>
    </row>
    <row r="29" ht="22.5" customHeight="1">
      <c r="A29" s="30">
        <f>IFERROR(__xludf.DUMMYFUNCTION("""COMPUTED_VALUE"""),46007.0)</f>
        <v>46007</v>
      </c>
      <c r="B29" s="31" t="str">
        <f>IFERROR(__xludf.DUMMYFUNCTION("""COMPUTED_VALUE"""),"AMAZON PAY INDIA PVT LTD WWW.A")</f>
        <v>AMAZON PAY INDIA PVT LTD WWW.A</v>
      </c>
      <c r="C29" s="42" t="str">
        <f>IFERROR(__xludf.DUMMYFUNCTION("""COMPUTED_VALUE"""),"Living Expense")</f>
        <v>Living Expense</v>
      </c>
      <c r="D29" s="32">
        <f>IFERROR(__xludf.DUMMYFUNCTION("""COMPUTED_VALUE"""),-32.15)</f>
        <v>-32.15</v>
      </c>
      <c r="E29" s="15">
        <f t="shared" si="1"/>
        <v>-1608.17</v>
      </c>
    </row>
    <row r="30" ht="22.5" customHeight="1">
      <c r="A30" s="30">
        <f>IFERROR(__xludf.DUMMYFUNCTION("""COMPUTED_VALUE"""),46007.0)</f>
        <v>46007</v>
      </c>
      <c r="B30" s="31" t="str">
        <f>IFERROR(__xludf.DUMMYFUNCTION("""COMPUTED_VALUE"""),"GYFTR SMARTBUY ONENEW DELHI")</f>
        <v>GYFTR SMARTBUY ONENEW DELHI</v>
      </c>
      <c r="C30" s="42" t="str">
        <f>IFERROR(__xludf.DUMMYFUNCTION("""COMPUTED_VALUE"""),"Living Expense")</f>
        <v>Living Expense</v>
      </c>
      <c r="D30" s="32">
        <f>IFERROR(__xludf.DUMMYFUNCTION("""COMPUTED_VALUE"""),-2603.25)</f>
        <v>-2603.25</v>
      </c>
      <c r="E30" s="15">
        <f t="shared" si="1"/>
        <v>-4211.42</v>
      </c>
    </row>
    <row r="31" ht="22.5" customHeight="1">
      <c r="A31" s="30">
        <f>IFERROR(__xludf.DUMMYFUNCTION("""COMPUTED_VALUE"""),46007.0)</f>
        <v>46007</v>
      </c>
      <c r="B31" s="31" t="str">
        <f>IFERROR(__xludf.DUMMYFUNCTION("""COMPUTED_VALUE"""),"GYFTR SMARTBUY ONENEW DELHI")</f>
        <v>GYFTR SMARTBUY ONENEW DELHI</v>
      </c>
      <c r="C31" s="42" t="str">
        <f>IFERROR(__xludf.DUMMYFUNCTION("""COMPUTED_VALUE"""),"Living Expense")</f>
        <v>Living Expense</v>
      </c>
      <c r="D31" s="32">
        <f>IFERROR(__xludf.DUMMYFUNCTION("""COMPUTED_VALUE"""),-1041.3)</f>
        <v>-1041.3</v>
      </c>
      <c r="E31" s="15">
        <f t="shared" si="1"/>
        <v>-5252.72</v>
      </c>
    </row>
    <row r="32" ht="22.5" customHeight="1">
      <c r="A32" s="30">
        <f>IFERROR(__xludf.DUMMYFUNCTION("""COMPUTED_VALUE"""),46007.0)</f>
        <v>46007</v>
      </c>
      <c r="B32" s="31" t="str">
        <f>IFERROR(__xludf.DUMMYFUNCTION("""COMPUTED_VALUE"""),"GYFTR SMARTBUY ONENEW DELHI")</f>
        <v>GYFTR SMARTBUY ONENEW DELHI</v>
      </c>
      <c r="C32" s="42" t="str">
        <f>IFERROR(__xludf.DUMMYFUNCTION("""COMPUTED_VALUE"""),"Living Expense")</f>
        <v>Living Expense</v>
      </c>
      <c r="D32" s="32">
        <f>IFERROR(__xludf.DUMMYFUNCTION("""COMPUTED_VALUE"""),-520.65)</f>
        <v>-520.65</v>
      </c>
      <c r="E32" s="15">
        <f t="shared" si="1"/>
        <v>-5773.37</v>
      </c>
    </row>
    <row r="33" ht="22.5" customHeight="1">
      <c r="A33" s="30">
        <f>IFERROR(__xludf.DUMMYFUNCTION("""COMPUTED_VALUE"""),46007.0)</f>
        <v>46007</v>
      </c>
      <c r="B33" s="31" t="str">
        <f>IFERROR(__xludf.DUMMYFUNCTION("""COMPUTED_VALUE"""),"SmartBuy_Bonus_5per_CB0000")</f>
        <v>SmartBuy_Bonus_5per_CB0000</v>
      </c>
      <c r="C33" s="42" t="str">
        <f>IFERROR(__xludf.DUMMYFUNCTION("""COMPUTED_VALUE"""),"Living Expense")</f>
        <v>Living Expense</v>
      </c>
      <c r="D33" s="32">
        <f>IFERROR(__xludf.DUMMYFUNCTION("""COMPUTED_VALUE"""),26.03)</f>
        <v>26.03</v>
      </c>
      <c r="E33" s="15">
        <f t="shared" si="1"/>
        <v>-5747.34</v>
      </c>
    </row>
    <row r="34" ht="22.5" customHeight="1">
      <c r="A34" s="30">
        <f>IFERROR(__xludf.DUMMYFUNCTION("""COMPUTED_VALUE"""),46007.0)</f>
        <v>46007</v>
      </c>
      <c r="B34" s="31" t="str">
        <f>IFERROR(__xludf.DUMMYFUNCTION("""COMPUTED_VALUE"""),"SmartBuy_Bonus_5per_CB0000")</f>
        <v>SmartBuy_Bonus_5per_CB0000</v>
      </c>
      <c r="C34" s="42" t="str">
        <f>IFERROR(__xludf.DUMMYFUNCTION("""COMPUTED_VALUE"""),"Living Expense")</f>
        <v>Living Expense</v>
      </c>
      <c r="D34" s="32">
        <f>IFERROR(__xludf.DUMMYFUNCTION("""COMPUTED_VALUE"""),104.13)</f>
        <v>104.13</v>
      </c>
      <c r="E34" s="15">
        <f t="shared" si="1"/>
        <v>-5643.21</v>
      </c>
    </row>
    <row r="35" ht="22.5" customHeight="1">
      <c r="A35" s="30">
        <f>IFERROR(__xludf.DUMMYFUNCTION("""COMPUTED_VALUE"""),46008.0)</f>
        <v>46008</v>
      </c>
      <c r="B35" s="31" t="str">
        <f>IFERROR(__xludf.DUMMYFUNCTION("""COMPUTED_VALUE"""),"CC PAYMENT 575947777114")</f>
        <v>CC PAYMENT 575947777114</v>
      </c>
      <c r="C35" s="42" t="str">
        <f>IFERROR(__xludf.DUMMYFUNCTION("""COMPUTED_VALUE"""),"Credit Card Expense")</f>
        <v>Credit Card Expense</v>
      </c>
      <c r="D35" s="32">
        <f>IFERROR(__xludf.DUMMYFUNCTION("""COMPUTED_VALUE"""),1561.0)</f>
        <v>1561</v>
      </c>
      <c r="E35" s="15">
        <f t="shared" si="1"/>
        <v>-4082.21</v>
      </c>
    </row>
    <row r="36" ht="22.5" customHeight="1">
      <c r="A36" s="30">
        <f>IFERROR(__xludf.DUMMYFUNCTION("""COMPUTED_VALUE"""),46008.0)</f>
        <v>46008</v>
      </c>
      <c r="B36" s="31" t="str">
        <f>IFERROR(__xludf.DUMMYFUNCTION("""COMPUTED_VALUE"""),"SmartBuy_Bonus_5per_CB0000")</f>
        <v>SmartBuy_Bonus_5per_CB0000</v>
      </c>
      <c r="C36" s="42" t="str">
        <f>IFERROR(__xludf.DUMMYFUNCTION("""COMPUTED_VALUE"""),"Living Expense")</f>
        <v>Living Expense</v>
      </c>
      <c r="D36" s="32">
        <f>IFERROR(__xludf.DUMMYFUNCTION("""COMPUTED_VALUE"""),78.1)</f>
        <v>78.1</v>
      </c>
      <c r="E36" s="15">
        <f t="shared" si="1"/>
        <v>-4004.11</v>
      </c>
    </row>
    <row r="37" ht="22.5" customHeight="1">
      <c r="A37" s="30">
        <f>IFERROR(__xludf.DUMMYFUNCTION("""COMPUTED_VALUE"""),46009.0)</f>
        <v>46009</v>
      </c>
      <c r="B37" s="31" t="str">
        <f>IFERROR(__xludf.DUMMYFUNCTION("""COMPUTED_VALUE"""),"SmartBuy_Bonus_5per_CB0000")</f>
        <v>SmartBuy_Bonus_5per_CB0000</v>
      </c>
      <c r="C37" s="42" t="str">
        <f>IFERROR(__xludf.DUMMYFUNCTION("""COMPUTED_VALUE"""),"Living Expense")</f>
        <v>Living Expense</v>
      </c>
      <c r="D37" s="32">
        <f>IFERROR(__xludf.DUMMYFUNCTION("""COMPUTED_VALUE"""),26.03)</f>
        <v>26.03</v>
      </c>
      <c r="E37" s="15">
        <f t="shared" si="1"/>
        <v>-3978.08</v>
      </c>
    </row>
    <row r="38" ht="22.5" customHeight="1">
      <c r="A38" s="30">
        <f>IFERROR(__xludf.DUMMYFUNCTION("""COMPUTED_VALUE"""),46009.0)</f>
        <v>46009</v>
      </c>
      <c r="B38" s="31" t="str">
        <f>IFERROR(__xludf.DUMMYFUNCTION("""COMPUTED_VALUE"""),"SmartBuy_Bonus_5per_CB0000")</f>
        <v>SmartBuy_Bonus_5per_CB0000</v>
      </c>
      <c r="C38" s="42" t="str">
        <f>IFERROR(__xludf.DUMMYFUNCTION("""COMPUTED_VALUE"""),"Living Expense")</f>
        <v>Living Expense</v>
      </c>
      <c r="D38" s="32">
        <f>IFERROR(__xludf.DUMMYFUNCTION("""COMPUTED_VALUE"""),130.16)</f>
        <v>130.16</v>
      </c>
      <c r="E38" s="15">
        <f t="shared" si="1"/>
        <v>-3847.92</v>
      </c>
    </row>
    <row r="39" ht="22.5" customHeight="1">
      <c r="A39" s="30">
        <f>IFERROR(__xludf.DUMMYFUNCTION("""COMPUTED_VALUE"""),46009.0)</f>
        <v>46009</v>
      </c>
      <c r="B39" s="31" t="str">
        <f>IFERROR(__xludf.DUMMYFUNCTION("""COMPUTED_VALUE"""),"SmartBuy_Bonus_5per_CB0000")</f>
        <v>SmartBuy_Bonus_5per_CB0000</v>
      </c>
      <c r="C39" s="42" t="str">
        <f>IFERROR(__xludf.DUMMYFUNCTION("""COMPUTED_VALUE"""),"Living Expense")</f>
        <v>Living Expense</v>
      </c>
      <c r="D39" s="32">
        <f>IFERROR(__xludf.DUMMYFUNCTION("""COMPUTED_VALUE"""),52.07)</f>
        <v>52.07</v>
      </c>
      <c r="E39" s="15">
        <f t="shared" si="1"/>
        <v>-3795.85</v>
      </c>
    </row>
    <row r="40" ht="22.5" customHeight="1">
      <c r="A40" s="30">
        <f>IFERROR(__xludf.DUMMYFUNCTION("""COMPUTED_VALUE"""),46012.0)</f>
        <v>46012</v>
      </c>
      <c r="B40" s="31" t="str">
        <f>IFERROR(__xludf.DUMMYFUNCTION("""COMPUTED_VALUE"""),"GYFTR SMARTBUY ONENEW DELHI")</f>
        <v>GYFTR SMARTBUY ONENEW DELHI</v>
      </c>
      <c r="C40" s="42" t="str">
        <f>IFERROR(__xludf.DUMMYFUNCTION("""COMPUTED_VALUE"""),"Living Expense")</f>
        <v>Living Expense</v>
      </c>
      <c r="D40" s="32">
        <f>IFERROR(__xludf.DUMMYFUNCTION("""COMPUTED_VALUE"""),-520.65)</f>
        <v>-520.65</v>
      </c>
      <c r="E40" s="15">
        <f t="shared" si="1"/>
        <v>-4316.5</v>
      </c>
    </row>
    <row r="41" ht="22.5" customHeight="1">
      <c r="A41" s="30">
        <f>IFERROR(__xludf.DUMMYFUNCTION("""COMPUTED_VALUE"""),46013.0)</f>
        <v>46013</v>
      </c>
      <c r="B41" s="31" t="str">
        <f>IFERROR(__xludf.DUMMYFUNCTION("""COMPUTED_VALUE"""),"CAS*Swiggy Benga")</f>
        <v>CAS*Swiggy Benga</v>
      </c>
      <c r="C41" s="42" t="str">
        <f>IFERROR(__xludf.DUMMYFUNCTION("""COMPUTED_VALUE"""),"Living Expense")</f>
        <v>Living Expense</v>
      </c>
      <c r="D41" s="32">
        <f>IFERROR(__xludf.DUMMYFUNCTION("""COMPUTED_VALUE"""),-2167.0)</f>
        <v>-2167</v>
      </c>
      <c r="E41" s="15">
        <f t="shared" si="1"/>
        <v>-6483.5</v>
      </c>
    </row>
    <row r="42" ht="22.5" customHeight="1">
      <c r="A42" s="30">
        <f>IFERROR(__xludf.DUMMYFUNCTION("""COMPUTED_VALUE"""),46014.0)</f>
        <v>46014</v>
      </c>
      <c r="B42" s="31" t="str">
        <f>IFERROR(__xludf.DUMMYFUNCTION("""COMPUTED_VALUE"""),"AMAZON DEBIT CARD WALLE WWW.A")</f>
        <v>AMAZON DEBIT CARD WALLE WWW.A</v>
      </c>
      <c r="C42" s="42" t="str">
        <f>IFERROR(__xludf.DUMMYFUNCTION("""COMPUTED_VALUE"""),"Living Expense")</f>
        <v>Living Expense</v>
      </c>
      <c r="D42" s="32">
        <f>IFERROR(__xludf.DUMMYFUNCTION("""COMPUTED_VALUE"""),-247.12)</f>
        <v>-247.12</v>
      </c>
      <c r="E42" s="15">
        <f t="shared" si="1"/>
        <v>-6730.62</v>
      </c>
    </row>
    <row r="43" ht="22.5" customHeight="1">
      <c r="A43" s="30">
        <f>IFERROR(__xludf.DUMMYFUNCTION("""COMPUTED_VALUE"""),46014.0)</f>
        <v>46014</v>
      </c>
      <c r="B43" s="31" t="str">
        <f>IFERROR(__xludf.DUMMYFUNCTION("""COMPUTED_VALUE"""),"SmartBuy_Bonus_5per_CB0000")</f>
        <v>SmartBuy_Bonus_5per_CB0000</v>
      </c>
      <c r="C43" s="42" t="str">
        <f>IFERROR(__xludf.DUMMYFUNCTION("""COMPUTED_VALUE"""),"Living Expense")</f>
        <v>Living Expense</v>
      </c>
      <c r="D43" s="32">
        <f>IFERROR(__xludf.DUMMYFUNCTION("""COMPUTED_VALUE"""),26.03)</f>
        <v>26.03</v>
      </c>
      <c r="E43" s="15">
        <f t="shared" si="1"/>
        <v>-6704.59</v>
      </c>
    </row>
    <row r="44" ht="22.5" customHeight="1">
      <c r="A44" s="30">
        <f>IFERROR(__xludf.DUMMYFUNCTION("""COMPUTED_VALUE"""),46015.0)</f>
        <v>46015</v>
      </c>
      <c r="B44" s="31" t="str">
        <f>IFERROR(__xludf.DUMMYFUNCTION("""COMPUTED_VALUE"""),"CC PAYMENT 466568402394")</f>
        <v>CC PAYMENT 466568402394</v>
      </c>
      <c r="C44" s="42" t="str">
        <f>IFERROR(__xludf.DUMMYFUNCTION("""COMPUTED_VALUE"""),"Credit Card Expense")</f>
        <v>Credit Card Expense</v>
      </c>
      <c r="D44" s="32">
        <f>IFERROR(__xludf.DUMMYFUNCTION("""COMPUTED_VALUE"""),5000.0)</f>
        <v>5000</v>
      </c>
      <c r="E44" s="15">
        <f t="shared" si="1"/>
        <v>-1704.59</v>
      </c>
    </row>
    <row r="45" ht="22.5" customHeight="1">
      <c r="A45" s="30">
        <f>IFERROR(__xludf.DUMMYFUNCTION("""COMPUTED_VALUE"""),46016.0)</f>
        <v>46016</v>
      </c>
      <c r="B45" s="31" t="str">
        <f>IFERROR(__xludf.DUMMYFUNCTION("""COMPUTED_VALUE"""),"CC PAYMENT 476658056671")</f>
        <v>CC PAYMENT 476658056671</v>
      </c>
      <c r="C45" s="42" t="str">
        <f>IFERROR(__xludf.DUMMYFUNCTION("""COMPUTED_VALUE"""),"Credit Card Expense")</f>
        <v>Credit Card Expense</v>
      </c>
      <c r="D45" s="32">
        <f>IFERROR(__xludf.DUMMYFUNCTION("""COMPUTED_VALUE"""),1111.26)</f>
        <v>1111.26</v>
      </c>
      <c r="E45" s="15">
        <f t="shared" si="1"/>
        <v>-593.33</v>
      </c>
    </row>
    <row r="46" ht="22.5" customHeight="1">
      <c r="A46" s="30">
        <f>IFERROR(__xludf.DUMMYFUNCTION("""COMPUTED_VALUE"""),46016.0)</f>
        <v>46016</v>
      </c>
      <c r="B46" s="31" t="str">
        <f>IFERROR(__xludf.DUMMYFUNCTION("""COMPUTED_VALUE"""),"GYFTR SMARTBUY ONENEW DELHI")</f>
        <v>GYFTR SMARTBUY ONENEW DELHI</v>
      </c>
      <c r="C46" s="42" t="str">
        <f>IFERROR(__xludf.DUMMYFUNCTION("""COMPUTED_VALUE"""),"Living Expense")</f>
        <v>Living Expense</v>
      </c>
      <c r="D46" s="32">
        <f>IFERROR(__xludf.DUMMYFUNCTION("""COMPUTED_VALUE"""),-1000.0)</f>
        <v>-1000</v>
      </c>
      <c r="E46" s="15">
        <f t="shared" si="1"/>
        <v>-1593.33</v>
      </c>
    </row>
    <row r="47" ht="22.5" customHeight="1">
      <c r="A47" s="30">
        <f>IFERROR(__xludf.DUMMYFUNCTION("""COMPUTED_VALUE"""),46016.0)</f>
        <v>46016</v>
      </c>
      <c r="B47" s="31" t="str">
        <f>IFERROR(__xludf.DUMMYFUNCTION("""COMPUTED_VALUE"""),"Swiggy Limited Banga")</f>
        <v>Swiggy Limited Banga</v>
      </c>
      <c r="C47" s="42" t="str">
        <f>IFERROR(__xludf.DUMMYFUNCTION("""COMPUTED_VALUE"""),"Living Expense")</f>
        <v>Living Expense</v>
      </c>
      <c r="D47" s="32">
        <f>IFERROR(__xludf.DUMMYFUNCTION("""COMPUTED_VALUE"""),-386.0)</f>
        <v>-386</v>
      </c>
      <c r="E47" s="15">
        <f t="shared" si="1"/>
        <v>-1979.33</v>
      </c>
    </row>
    <row r="48" ht="22.5" customHeight="1">
      <c r="A48" s="30">
        <f>IFERROR(__xludf.DUMMYFUNCTION("""COMPUTED_VALUE"""),46016.0)</f>
        <v>46016</v>
      </c>
      <c r="B48" s="31" t="str">
        <f>IFERROR(__xludf.DUMMYFUNCTION("""COMPUTED_VALUE"""),"Swiggy Limited Banga")</f>
        <v>Swiggy Limited Banga</v>
      </c>
      <c r="C48" s="42" t="str">
        <f>IFERROR(__xludf.DUMMYFUNCTION("""COMPUTED_VALUE"""),"Living Expense")</f>
        <v>Living Expense</v>
      </c>
      <c r="D48" s="32">
        <f>IFERROR(__xludf.DUMMYFUNCTION("""COMPUTED_VALUE"""),386.0)</f>
        <v>386</v>
      </c>
      <c r="E48" s="15">
        <f t="shared" si="1"/>
        <v>-1593.33</v>
      </c>
    </row>
    <row r="49" ht="22.5" customHeight="1">
      <c r="A49" s="30">
        <f>IFERROR(__xludf.DUMMYFUNCTION("""COMPUTED_VALUE"""),46016.0)</f>
        <v>46016</v>
      </c>
      <c r="B49" s="31" t="str">
        <f>IFERROR(__xludf.DUMMYFUNCTION("""COMPUTED_VALUE"""),"TACO BELL MOHAL")</f>
        <v>TACO BELL MOHAL</v>
      </c>
      <c r="C49" s="42" t="str">
        <f>IFERROR(__xludf.DUMMYFUNCTION("""COMPUTED_VALUE"""),"Living Expense")</f>
        <v>Living Expense</v>
      </c>
      <c r="D49" s="32">
        <f>IFERROR(__xludf.DUMMYFUNCTION("""COMPUTED_VALUE"""),-407.0)</f>
        <v>-407</v>
      </c>
      <c r="E49" s="15">
        <f t="shared" si="1"/>
        <v>-2000.33</v>
      </c>
    </row>
    <row r="50" ht="22.5" customHeight="1">
      <c r="A50" s="30">
        <f>IFERROR(__xludf.DUMMYFUNCTION("""COMPUTED_VALUE"""),46017.0)</f>
        <v>46017</v>
      </c>
      <c r="B50" s="31" t="str">
        <f>IFERROR(__xludf.DUMMYFUNCTION("""COMPUTED_VALUE"""),"CC PAYMENT 596770212488")</f>
        <v>CC PAYMENT 596770212488</v>
      </c>
      <c r="C50" s="42" t="str">
        <f>IFERROR(__xludf.DUMMYFUNCTION("""COMPUTED_VALUE"""),"Credit Card Expense")</f>
        <v>Credit Card Expense</v>
      </c>
      <c r="D50" s="32">
        <f>IFERROR(__xludf.DUMMYFUNCTION("""COMPUTED_VALUE"""),885.0)</f>
        <v>885</v>
      </c>
      <c r="E50" s="15">
        <f t="shared" si="1"/>
        <v>-1115.33</v>
      </c>
    </row>
    <row r="51" ht="22.5" customHeight="1">
      <c r="A51" s="30">
        <f>IFERROR(__xludf.DUMMYFUNCTION("""COMPUTED_VALUE"""),46017.0)</f>
        <v>46017</v>
      </c>
      <c r="B51" s="31" t="str">
        <f>IFERROR(__xludf.DUMMYFUNCTION("""COMPUTED_VALUE"""),"NETFLIX DI SI MUMBA")</f>
        <v>NETFLIX DI SI MUMBA</v>
      </c>
      <c r="C51" s="42" t="str">
        <f>IFERROR(__xludf.DUMMYFUNCTION("""COMPUTED_VALUE"""),"Living Expense")</f>
        <v>Living Expense</v>
      </c>
      <c r="D51" s="32">
        <f>IFERROR(__xludf.DUMMYFUNCTION("""COMPUTED_VALUE"""),-499.0)</f>
        <v>-499</v>
      </c>
      <c r="E51" s="15">
        <f t="shared" si="1"/>
        <v>-1614.33</v>
      </c>
    </row>
    <row r="52" ht="22.5" customHeight="1">
      <c r="A52" s="30">
        <f>IFERROR(__xludf.DUMMYFUNCTION("""COMPUTED_VALUE"""),46018.0)</f>
        <v>46018</v>
      </c>
      <c r="B52" s="31" t="str">
        <f>IFERROR(__xludf.DUMMYFUNCTION("""COMPUTED_VALUE"""),"SmartBuy_Bonus_5per_CB0000")</f>
        <v>SmartBuy_Bonus_5per_CB0000</v>
      </c>
      <c r="C52" s="42" t="str">
        <f>IFERROR(__xludf.DUMMYFUNCTION("""COMPUTED_VALUE"""),"Living Expense")</f>
        <v>Living Expense</v>
      </c>
      <c r="D52" s="32">
        <f>IFERROR(__xludf.DUMMYFUNCTION("""COMPUTED_VALUE"""),50.0)</f>
        <v>50</v>
      </c>
      <c r="E52" s="15">
        <f t="shared" si="1"/>
        <v>-1564.33</v>
      </c>
    </row>
    <row r="53" ht="22.5" customHeight="1">
      <c r="A53" s="30">
        <f>IFERROR(__xludf.DUMMYFUNCTION("""COMPUTED_VALUE"""),46020.0)</f>
        <v>46020</v>
      </c>
      <c r="B53" s="31" t="str">
        <f>IFERROR(__xludf.DUMMYFUNCTION("""COMPUTED_VALUE"""),"MY FRESH RETAILS PVT LPAN")</f>
        <v>MY FRESH RETAILS PVT LPAN</v>
      </c>
      <c r="C53" s="42" t="str">
        <f>IFERROR(__xludf.DUMMYFUNCTION("""COMPUTED_VALUE"""),"Living Expense")</f>
        <v>Living Expense</v>
      </c>
      <c r="D53" s="32">
        <f>IFERROR(__xludf.DUMMYFUNCTION("""COMPUTED_VALUE"""),-2703.0)</f>
        <v>-2703</v>
      </c>
      <c r="E53" s="15">
        <f t="shared" si="1"/>
        <v>-4267.33</v>
      </c>
    </row>
    <row r="54" ht="22.5" customHeight="1">
      <c r="A54" s="30">
        <f>IFERROR(__xludf.DUMMYFUNCTION("""COMPUTED_VALUE"""),46021.0)</f>
        <v>46021</v>
      </c>
      <c r="B54" s="31" t="str">
        <f>IFERROR(__xludf.DUMMYFUNCTION("""COMPUTED_VALUE"""),"Zee5 Annual - GYFRT Voucher")</f>
        <v>Zee5 Annual - GYFRT Voucher</v>
      </c>
      <c r="C54" s="42" t="str">
        <f>IFERROR(__xludf.DUMMYFUNCTION("""COMPUTED_VALUE"""),"Living Expense")</f>
        <v>Living Expense</v>
      </c>
      <c r="D54" s="32">
        <f>IFERROR(__xludf.DUMMYFUNCTION("""COMPUTED_VALUE"""),-849.15)</f>
        <v>-849.15</v>
      </c>
      <c r="E54" s="15">
        <f t="shared" si="1"/>
        <v>-5116.48</v>
      </c>
    </row>
    <row r="55" ht="22.5" customHeight="1">
      <c r="A55" s="30">
        <f>IFERROR(__xludf.DUMMYFUNCTION("""COMPUTED_VALUE"""),46022.0)</f>
        <v>46022</v>
      </c>
      <c r="B55" s="31" t="str">
        <f>IFERROR(__xludf.DUMMYFUNCTION("""COMPUTED_VALUE"""),"AMAZON  DEBIT CARD WALLE WWW.AMAZON")</f>
        <v>AMAZON  DEBIT CARD WALLE WWW.AMAZON</v>
      </c>
      <c r="C55" s="42" t="str">
        <f>IFERROR(__xludf.DUMMYFUNCTION("""COMPUTED_VALUE"""),"Living Expense")</f>
        <v>Living Expense</v>
      </c>
      <c r="D55" s="32">
        <f>IFERROR(__xludf.DUMMYFUNCTION("""COMPUTED_VALUE"""),-43.9)</f>
        <v>-43.9</v>
      </c>
      <c r="E55" s="15">
        <f t="shared" si="1"/>
        <v>-5160.38</v>
      </c>
    </row>
    <row r="56" ht="22.5" customHeight="1">
      <c r="A56" s="30">
        <f>IFERROR(__xludf.DUMMYFUNCTION("""COMPUTED_VALUE"""),46022.0)</f>
        <v>46022</v>
      </c>
      <c r="B56" s="31" t="str">
        <f>IFERROR(__xludf.DUMMYFUNCTION("""COMPUTED_VALUE"""),"GYFTR VIA SMARTBUY     NEW DELHI")</f>
        <v>GYFTR VIA SMARTBUY     NEW DELHI</v>
      </c>
      <c r="C56" s="42" t="str">
        <f>IFERROR(__xludf.DUMMYFUNCTION("""COMPUTED_VALUE"""),"Living Expense")</f>
        <v>Living Expense</v>
      </c>
      <c r="D56" s="32">
        <f>IFERROR(__xludf.DUMMYFUNCTION("""COMPUTED_VALUE"""),-520.65)</f>
        <v>-520.65</v>
      </c>
      <c r="E56" s="15">
        <f t="shared" si="1"/>
        <v>-5681.03</v>
      </c>
    </row>
    <row r="57" ht="22.5" customHeight="1">
      <c r="A57" s="30">
        <f>IFERROR(__xludf.DUMMYFUNCTION("""COMPUTED_VALUE"""),46023.0)</f>
        <v>46023</v>
      </c>
      <c r="B57" s="31" t="str">
        <f>IFERROR(__xludf.DUMMYFUNCTION("""COMPUTED_VALUE"""),"SmartBuy_Bonus_5per_CB         0000 (Ref# ST260020084000015122853)")</f>
        <v>SmartBuy_Bonus_5per_CB         0000 (Ref# ST260020084000015122853)</v>
      </c>
      <c r="C57" s="42" t="str">
        <f>IFERROR(__xludf.DUMMYFUNCTION("""COMPUTED_VALUE"""),"Living Expense")</f>
        <v>Living Expense</v>
      </c>
      <c r="D57" s="32">
        <f>IFERROR(__xludf.DUMMYFUNCTION("""COMPUTED_VALUE"""),42.46)</f>
        <v>42.46</v>
      </c>
      <c r="E57" s="15">
        <f t="shared" si="1"/>
        <v>-5638.57</v>
      </c>
    </row>
    <row r="58" ht="22.5" customHeight="1">
      <c r="A58" s="30">
        <f>IFERROR(__xludf.DUMMYFUNCTION("""COMPUTED_VALUE"""),46024.0)</f>
        <v>46024</v>
      </c>
      <c r="B58" s="31" t="str">
        <f>IFERROR(__xludf.DUMMYFUNCTION("""COMPUTED_VALUE"""),"AMAZON  DEBIT CARD WALLE WWW.AMAZON")</f>
        <v>AMAZON  DEBIT CARD WALLE WWW.AMAZON</v>
      </c>
      <c r="C58" s="42" t="str">
        <f>IFERROR(__xludf.DUMMYFUNCTION("""COMPUTED_VALUE"""),"Living Expense")</f>
        <v>Living Expense</v>
      </c>
      <c r="D58" s="32">
        <f>IFERROR(__xludf.DUMMYFUNCTION("""COMPUTED_VALUE"""),-198.0)</f>
        <v>-198</v>
      </c>
      <c r="E58" s="15">
        <f t="shared" si="1"/>
        <v>-5836.57</v>
      </c>
    </row>
    <row r="59" ht="22.5" customHeight="1">
      <c r="A59" s="30">
        <f>IFERROR(__xludf.DUMMYFUNCTION("""COMPUTED_VALUE"""),46024.0)</f>
        <v>46024</v>
      </c>
      <c r="B59" s="31" t="str">
        <f>IFERROR(__xludf.DUMMYFUNCTION("""COMPUTED_VALUE"""),"GOOGLE PLAY              MUMBAI")</f>
        <v>GOOGLE PLAY              MUMBAI</v>
      </c>
      <c r="C59" s="42" t="str">
        <f>IFERROR(__xludf.DUMMYFUNCTION("""COMPUTED_VALUE"""),"Living Expense")</f>
        <v>Living Expense</v>
      </c>
      <c r="D59" s="32">
        <f>IFERROR(__xludf.DUMMYFUNCTION("""COMPUTED_VALUE"""),-800.0)</f>
        <v>-800</v>
      </c>
      <c r="E59" s="15">
        <f t="shared" si="1"/>
        <v>-6636.57</v>
      </c>
    </row>
    <row r="60" ht="22.5" customHeight="1">
      <c r="A60" s="30">
        <f>IFERROR(__xludf.DUMMYFUNCTION("""COMPUTED_VALUE"""),46024.0)</f>
        <v>46024</v>
      </c>
      <c r="B60" s="31" t="str">
        <f>IFERROR(__xludf.DUMMYFUNCTION("""COMPUTED_VALUE"""),"GOOGLE PLAY              MUMBAI")</f>
        <v>GOOGLE PLAY              MUMBAI</v>
      </c>
      <c r="C60" s="42" t="str">
        <f>IFERROR(__xludf.DUMMYFUNCTION("""COMPUTED_VALUE"""),"Living Expense")</f>
        <v>Living Expense</v>
      </c>
      <c r="D60" s="32">
        <f>IFERROR(__xludf.DUMMYFUNCTION("""COMPUTED_VALUE"""),-800.0)</f>
        <v>-800</v>
      </c>
      <c r="E60" s="15">
        <f t="shared" si="1"/>
        <v>-7436.57</v>
      </c>
    </row>
    <row r="61" ht="22.5" customHeight="1">
      <c r="A61" s="30">
        <f>IFERROR(__xludf.DUMMYFUNCTION("""COMPUTED_VALUE"""),46024.0)</f>
        <v>46024</v>
      </c>
      <c r="B61" s="31" t="str">
        <f>IFERROR(__xludf.DUMMYFUNCTION("""COMPUTED_VALUE"""),"GOOGLE PLAY              MUMBAI")</f>
        <v>GOOGLE PLAY              MUMBAI</v>
      </c>
      <c r="C61" s="42" t="str">
        <f>IFERROR(__xludf.DUMMYFUNCTION("""COMPUTED_VALUE"""),"Living Expense")</f>
        <v>Living Expense</v>
      </c>
      <c r="D61" s="32">
        <f>IFERROR(__xludf.DUMMYFUNCTION("""COMPUTED_VALUE"""),-400.0)</f>
        <v>-400</v>
      </c>
      <c r="E61" s="15">
        <f t="shared" si="1"/>
        <v>-7836.57</v>
      </c>
    </row>
    <row r="62" ht="22.5" customHeight="1">
      <c r="A62" s="30">
        <f>IFERROR(__xludf.DUMMYFUNCTION("""COMPUTED_VALUE"""),46024.0)</f>
        <v>46024</v>
      </c>
      <c r="B62" s="31" t="str">
        <f>IFERROR(__xludf.DUMMYFUNCTION("""COMPUTED_VALUE"""),"SmartBuy_Bonus_5per_CB         0000 (Ref# ST260030084000012596270)")</f>
        <v>SmartBuy_Bonus_5per_CB         0000 (Ref# ST260030084000012596270)</v>
      </c>
      <c r="C62" s="42" t="str">
        <f>IFERROR(__xludf.DUMMYFUNCTION("""COMPUTED_VALUE"""),"Living Expense")</f>
        <v>Living Expense</v>
      </c>
      <c r="D62" s="32">
        <f>IFERROR(__xludf.DUMMYFUNCTION("""COMPUTED_VALUE"""),26.03)</f>
        <v>26.03</v>
      </c>
      <c r="E62" s="15">
        <f t="shared" si="1"/>
        <v>-7810.54</v>
      </c>
    </row>
    <row r="63" ht="22.5" customHeight="1">
      <c r="A63" s="30">
        <f>IFERROR(__xludf.DUMMYFUNCTION("""COMPUTED_VALUE"""),46028.0)</f>
        <v>46028</v>
      </c>
      <c r="B63" s="31" t="str">
        <f>IFERROR(__xludf.DUMMYFUNCTION("""COMPUTED_VALUE"""),"AMAZON UTILITIES         MUMBAI")</f>
        <v>AMAZON UTILITIES         MUMBAI</v>
      </c>
      <c r="C63" s="42" t="str">
        <f>IFERROR(__xludf.DUMMYFUNCTION("""COMPUTED_VALUE"""),"Living Expense")</f>
        <v>Living Expense</v>
      </c>
      <c r="D63" s="32">
        <f>IFERROR(__xludf.DUMMYFUNCTION("""COMPUTED_VALUE"""),-75.0)</f>
        <v>-75</v>
      </c>
      <c r="E63" s="15">
        <f t="shared" si="1"/>
        <v>-7885.54</v>
      </c>
    </row>
    <row r="64" ht="22.5" customHeight="1">
      <c r="A64" s="30">
        <f>IFERROR(__xludf.DUMMYFUNCTION("""COMPUTED_VALUE"""),46028.0)</f>
        <v>46028</v>
      </c>
      <c r="B64" s="31" t="str">
        <f>IFERROR(__xludf.DUMMYFUNCTION("""COMPUTED_VALUE"""),"AMAZON UTILITIES         MUMBAI")</f>
        <v>AMAZON UTILITIES         MUMBAI</v>
      </c>
      <c r="C64" s="42" t="str">
        <f>IFERROR(__xludf.DUMMYFUNCTION("""COMPUTED_VALUE"""),"Living Expense")</f>
        <v>Living Expense</v>
      </c>
      <c r="D64" s="32">
        <f>IFERROR(__xludf.DUMMYFUNCTION("""COMPUTED_VALUE"""),-400.0)</f>
        <v>-400</v>
      </c>
      <c r="E64" s="15">
        <f t="shared" si="1"/>
        <v>-8285.54</v>
      </c>
    </row>
    <row r="65" ht="22.5" customHeight="1">
      <c r="A65" s="30">
        <f>IFERROR(__xludf.DUMMYFUNCTION("""COMPUTED_VALUE"""),46028.0)</f>
        <v>46028</v>
      </c>
      <c r="B65" s="31" t="str">
        <f>IFERROR(__xludf.DUMMYFUNCTION("""COMPUTED_VALUE"""),"GYFTR VIA SMARTBUY     NEW DELHI")</f>
        <v>GYFTR VIA SMARTBUY     NEW DELHI</v>
      </c>
      <c r="C65" s="42" t="str">
        <f>IFERROR(__xludf.DUMMYFUNCTION("""COMPUTED_VALUE"""),"Living Expense")</f>
        <v>Living Expense</v>
      </c>
      <c r="D65" s="32">
        <f>IFERROR(__xludf.DUMMYFUNCTION("""COMPUTED_VALUE"""),-1041.3)</f>
        <v>-1041.3</v>
      </c>
      <c r="E65" s="15">
        <f t="shared" si="1"/>
        <v>-9326.84</v>
      </c>
    </row>
    <row r="66" ht="22.5" customHeight="1">
      <c r="A66" s="30">
        <f>IFERROR(__xludf.DUMMYFUNCTION("""COMPUTED_VALUE"""),46030.0)</f>
        <v>46030</v>
      </c>
      <c r="B66" s="31" t="str">
        <f>IFERROR(__xludf.DUMMYFUNCTION("""COMPUTED_VALUE"""),"SmartBuy_Bonus_5per_CB         0000 (Ref# ST260090084000011565659)")</f>
        <v>SmartBuy_Bonus_5per_CB         0000 (Ref# ST260090084000011565659)</v>
      </c>
      <c r="C66" s="42" t="str">
        <f>IFERROR(__xludf.DUMMYFUNCTION("""COMPUTED_VALUE"""),"Living Expense")</f>
        <v>Living Expense</v>
      </c>
      <c r="D66" s="32">
        <f>IFERROR(__xludf.DUMMYFUNCTION("""COMPUTED_VALUE"""),52.07)</f>
        <v>52.07</v>
      </c>
      <c r="E66" s="15">
        <f t="shared" si="1"/>
        <v>-9274.77</v>
      </c>
    </row>
    <row r="67" ht="22.5" customHeight="1">
      <c r="A67" s="30">
        <f>IFERROR(__xludf.DUMMYFUNCTION("""COMPUTED_VALUE"""),46032.0)</f>
        <v>46032</v>
      </c>
      <c r="B67" s="31" t="str">
        <f>IFERROR(__xludf.DUMMYFUNCTION("""COMPUTED_VALUE"""),"PAYZAPP WALLET         MUMBAI")</f>
        <v>PAYZAPP WALLET         MUMBAI</v>
      </c>
      <c r="C67" s="42" t="str">
        <f>IFERROR(__xludf.DUMMYFUNCTION("""COMPUTED_VALUE"""),"Living Expense")</f>
        <v>Living Expense</v>
      </c>
      <c r="D67" s="32">
        <f>IFERROR(__xludf.DUMMYFUNCTION("""COMPUTED_VALUE"""),-102.95)</f>
        <v>-102.95</v>
      </c>
      <c r="E67" s="15">
        <f t="shared" si="1"/>
        <v>-9377.72</v>
      </c>
    </row>
    <row r="68" ht="22.5" customHeight="1">
      <c r="A68" s="30">
        <f>IFERROR(__xludf.DUMMYFUNCTION("""COMPUTED_VALUE"""),46033.0)</f>
        <v>46033</v>
      </c>
      <c r="B68" s="31" t="str">
        <f>IFERROR(__xludf.DUMMYFUNCTION("""COMPUTED_VALUE"""),"CC PAYMENT 908119082647 PayZapp (Ref# 00000000000111018327127)")</f>
        <v>CC PAYMENT 908119082647 PayZapp (Ref# 00000000000111018327127)</v>
      </c>
      <c r="C68" s="42" t="str">
        <f>IFERROR(__xludf.DUMMYFUNCTION("""COMPUTED_VALUE"""),"Credit Card Expense")</f>
        <v>Credit Card Expense</v>
      </c>
      <c r="D68" s="32">
        <f>IFERROR(__xludf.DUMMYFUNCTION("""COMPUTED_VALUE"""),1836.0)</f>
        <v>1836</v>
      </c>
      <c r="E68" s="15">
        <f t="shared" si="1"/>
        <v>-7541.72</v>
      </c>
    </row>
    <row r="69" ht="22.5" customHeight="1">
      <c r="A69" s="30">
        <f>IFERROR(__xludf.DUMMYFUNCTION("""COMPUTED_VALUE"""),46036.0)</f>
        <v>46036</v>
      </c>
      <c r="B69" s="31" t="str">
        <f>IFERROR(__xludf.DUMMYFUNCTION("""COMPUTED_VALUE"""),"FIRST YEAR MEMBERSHIP FEE (Ref# 19999999980114999828000)")</f>
        <v>FIRST YEAR MEMBERSHIP FEE (Ref# 19999999980114999828000)</v>
      </c>
      <c r="C69" s="42" t="str">
        <f>IFERROR(__xludf.DUMMYFUNCTION("""COMPUTED_VALUE"""),"Living Expense")</f>
        <v>Living Expense</v>
      </c>
      <c r="D69" s="32">
        <f>IFERROR(__xludf.DUMMYFUNCTION("""COMPUTED_VALUE"""),-500.0)</f>
        <v>-500</v>
      </c>
      <c r="E69" s="15">
        <f t="shared" si="1"/>
        <v>-8041.72</v>
      </c>
    </row>
    <row r="70" ht="22.5" customHeight="1">
      <c r="A70" s="30">
        <f>IFERROR(__xludf.DUMMYFUNCTION("""COMPUTED_VALUE"""),46036.0)</f>
        <v>46036</v>
      </c>
      <c r="B70" s="31" t="str">
        <f>IFERROR(__xludf.DUMMYFUNCTION("""COMPUTED_VALUE"""),"IGST-VPS")</f>
        <v>IGST-VPS</v>
      </c>
      <c r="C70" s="42" t="str">
        <f>IFERROR(__xludf.DUMMYFUNCTION("""COMPUTED_VALUE"""),"Living Expense")</f>
        <v>Living Expense</v>
      </c>
      <c r="D70" s="32">
        <f>IFERROR(__xludf.DUMMYFUNCTION("""COMPUTED_VALUE"""),-90.0)</f>
        <v>-90</v>
      </c>
      <c r="E70" s="15">
        <f t="shared" si="1"/>
        <v>-8131.72</v>
      </c>
    </row>
    <row r="71" ht="22.5" customHeight="1">
      <c r="A71" s="30">
        <f>IFERROR(__xludf.DUMMYFUNCTION("""COMPUTED_VALUE"""),46037.0)</f>
        <v>46037</v>
      </c>
      <c r="B71" s="31" t="str">
        <f>IFERROR(__xludf.DUMMYFUNCTION("""COMPUTED_VALUE"""),"CashBack")</f>
        <v>CashBack</v>
      </c>
      <c r="C71" s="42" t="str">
        <f>IFERROR(__xludf.DUMMYFUNCTION("""COMPUTED_VALUE"""),"Living Expense")</f>
        <v>Living Expense</v>
      </c>
      <c r="D71" s="32">
        <f>IFERROR(__xludf.DUMMYFUNCTION("""COMPUTED_VALUE"""),299.0)</f>
        <v>299</v>
      </c>
      <c r="E71" s="15">
        <f t="shared" si="1"/>
        <v>-7832.72</v>
      </c>
    </row>
    <row r="72" ht="22.5" customHeight="1">
      <c r="A72" s="30">
        <f>IFERROR(__xludf.DUMMYFUNCTION("""COMPUTED_VALUE"""),46037.0)</f>
        <v>46037</v>
      </c>
      <c r="B72" s="31" t="str">
        <f>IFERROR(__xludf.DUMMYFUNCTION("""COMPUTED_VALUE"""),"DAVCHD")</f>
        <v>DAVCHD</v>
      </c>
      <c r="C72" s="42" t="str">
        <f>IFERROR(__xludf.DUMMYFUNCTION("""COMPUTED_VALUE"""),"Living Expense")</f>
        <v>Living Expense</v>
      </c>
      <c r="D72" s="32">
        <f>IFERROR(__xludf.DUMMYFUNCTION("""COMPUTED_VALUE"""),-3424.45)</f>
        <v>-3424.45</v>
      </c>
      <c r="E72" s="15">
        <f t="shared" si="1"/>
        <v>-11257.17</v>
      </c>
    </row>
    <row r="73" ht="22.5" customHeight="1">
      <c r="A73" s="30">
        <f>IFERROR(__xludf.DUMMYFUNCTION("""COMPUTED_VALUE"""),46038.0)</f>
        <v>46038</v>
      </c>
      <c r="B73" s="31" t="str">
        <f>IFERROR(__xludf.DUMMYFUNCTION("""COMPUTED_VALUE"""),"CC Payment")</f>
        <v>CC Payment</v>
      </c>
      <c r="C73" s="42" t="str">
        <f>IFERROR(__xludf.DUMMYFUNCTION("""COMPUTED_VALUE"""),"Credit Card Expense")</f>
        <v>Credit Card Expense</v>
      </c>
      <c r="D73" s="32">
        <f>IFERROR(__xludf.DUMMYFUNCTION("""COMPUTED_VALUE"""),11257.17)</f>
        <v>11257.17</v>
      </c>
      <c r="E73" s="15">
        <f t="shared" si="1"/>
        <v>0</v>
      </c>
    </row>
    <row r="74" ht="22.5" customHeight="1">
      <c r="A74" s="30">
        <f>IFERROR(__xludf.DUMMYFUNCTION("""COMPUTED_VALUE"""),46038.0)</f>
        <v>46038</v>
      </c>
      <c r="B74" s="31" t="str">
        <f>IFERROR(__xludf.DUMMYFUNCTION("""COMPUTED_VALUE"""),"CashBack fee")</f>
        <v>CashBack fee</v>
      </c>
      <c r="C74" s="42" t="str">
        <f>IFERROR(__xludf.DUMMYFUNCTION("""COMPUTED_VALUE"""),"Living Expense")</f>
        <v>Living Expense</v>
      </c>
      <c r="D74" s="32">
        <f>IFERROR(__xludf.DUMMYFUNCTION("""COMPUTED_VALUE"""),-50.0)</f>
        <v>-50</v>
      </c>
      <c r="E74" s="15">
        <f t="shared" si="1"/>
        <v>-50</v>
      </c>
    </row>
    <row r="75" ht="22.5" customHeight="1">
      <c r="A75" s="30">
        <f>IFERROR(__xludf.DUMMYFUNCTION("""COMPUTED_VALUE"""),46039.0)</f>
        <v>46039</v>
      </c>
      <c r="B75" s="31" t="str">
        <f>IFERROR(__xludf.DUMMYFUNCTION("""COMPUTED_VALUE"""),"POS 406584XXXXXX4354 PZ HDFC CC BILLP")</f>
        <v>POS 406584XXXXXX4354 PZ HDFC CC BILLP</v>
      </c>
      <c r="C75" s="42" t="str">
        <f>IFERROR(__xludf.DUMMYFUNCTION("""COMPUTED_VALUE"""),"Credit Card Expense")</f>
        <v>Credit Card Expense</v>
      </c>
      <c r="D75" s="32">
        <f>IFERROR(__xludf.DUMMYFUNCTION("""COMPUTED_VALUE"""),50.0)</f>
        <v>50</v>
      </c>
      <c r="E75" s="15">
        <f t="shared" si="1"/>
        <v>0</v>
      </c>
    </row>
    <row r="76" ht="22.5" customHeight="1">
      <c r="A76" s="30"/>
      <c r="B76" s="31"/>
      <c r="C76" s="31"/>
      <c r="D76" s="32"/>
      <c r="E76" s="15">
        <f t="shared" si="1"/>
        <v>0</v>
      </c>
    </row>
    <row r="77" ht="22.5" customHeight="1">
      <c r="A77" s="30"/>
      <c r="B77" s="31"/>
      <c r="C77" s="31"/>
      <c r="D77" s="32"/>
      <c r="E77" s="15">
        <f t="shared" si="1"/>
        <v>0</v>
      </c>
    </row>
    <row r="78" ht="22.5" customHeight="1">
      <c r="A78" s="30"/>
      <c r="B78" s="31"/>
      <c r="C78" s="31"/>
      <c r="D78" s="32"/>
      <c r="E78" s="15">
        <f t="shared" si="1"/>
        <v>0</v>
      </c>
    </row>
    <row r="79" ht="22.5" customHeight="1">
      <c r="A79" s="30"/>
      <c r="B79" s="31"/>
      <c r="C79" s="31"/>
      <c r="D79" s="32"/>
      <c r="E79" s="15">
        <f t="shared" si="1"/>
        <v>0</v>
      </c>
    </row>
    <row r="80" ht="22.5" customHeight="1">
      <c r="A80" s="30"/>
      <c r="B80" s="31"/>
      <c r="C80" s="31"/>
      <c r="D80" s="32"/>
      <c r="E80" s="15">
        <f t="shared" si="1"/>
        <v>0</v>
      </c>
    </row>
    <row r="81" ht="22.5" customHeight="1">
      <c r="A81" s="30"/>
      <c r="B81" s="31"/>
      <c r="C81" s="31"/>
      <c r="D81" s="32"/>
      <c r="E81" s="15">
        <f t="shared" si="1"/>
        <v>0</v>
      </c>
    </row>
    <row r="82" ht="22.5" customHeight="1">
      <c r="A82" s="30"/>
      <c r="B82" s="31"/>
      <c r="C82" s="31"/>
      <c r="D82" s="32"/>
      <c r="E82" s="15">
        <f t="shared" si="1"/>
        <v>0</v>
      </c>
    </row>
    <row r="83" ht="22.5" customHeight="1">
      <c r="A83" s="30"/>
      <c r="B83" s="31"/>
      <c r="C83" s="31"/>
      <c r="D83" s="32"/>
      <c r="E83" s="15">
        <f t="shared" si="1"/>
        <v>0</v>
      </c>
    </row>
    <row r="84" ht="22.5" customHeight="1">
      <c r="A84" s="30"/>
      <c r="B84" s="31"/>
      <c r="C84" s="31"/>
      <c r="D84" s="32"/>
      <c r="E84" s="15">
        <f t="shared" si="1"/>
        <v>0</v>
      </c>
    </row>
    <row r="85" ht="22.5" customHeight="1">
      <c r="A85" s="30"/>
      <c r="B85" s="31"/>
      <c r="C85" s="31"/>
      <c r="D85" s="32"/>
      <c r="E85" s="15">
        <f t="shared" si="1"/>
        <v>0</v>
      </c>
    </row>
    <row r="86" ht="22.5" customHeight="1">
      <c r="A86" s="30"/>
      <c r="B86" s="31"/>
      <c r="C86" s="31"/>
      <c r="D86" s="32"/>
      <c r="E86" s="15">
        <f t="shared" si="1"/>
        <v>0</v>
      </c>
    </row>
    <row r="87" ht="22.5" customHeight="1">
      <c r="A87" s="30"/>
      <c r="B87" s="31"/>
      <c r="C87" s="31"/>
      <c r="D87" s="32"/>
      <c r="E87" s="15">
        <f t="shared" si="1"/>
        <v>0</v>
      </c>
    </row>
    <row r="88" ht="22.5" customHeight="1">
      <c r="A88" s="30"/>
      <c r="B88" s="31"/>
      <c r="C88" s="31"/>
      <c r="D88" s="32"/>
      <c r="E88" s="15">
        <f t="shared" si="1"/>
        <v>0</v>
      </c>
    </row>
    <row r="89" ht="22.5" customHeight="1">
      <c r="A89" s="30"/>
      <c r="B89" s="31"/>
      <c r="C89" s="31"/>
      <c r="D89" s="32"/>
      <c r="E89" s="15">
        <f t="shared" si="1"/>
        <v>0</v>
      </c>
    </row>
    <row r="90" ht="22.5" customHeight="1">
      <c r="A90" s="30"/>
      <c r="B90" s="31"/>
      <c r="C90" s="31"/>
      <c r="D90" s="32"/>
      <c r="E90" s="15">
        <f t="shared" si="1"/>
        <v>0</v>
      </c>
    </row>
    <row r="91" ht="22.5" customHeight="1">
      <c r="A91" s="30"/>
      <c r="B91" s="31"/>
      <c r="C91" s="31"/>
      <c r="D91" s="32"/>
      <c r="E91" s="15">
        <f t="shared" si="1"/>
        <v>0</v>
      </c>
    </row>
    <row r="92" ht="22.5" customHeight="1">
      <c r="A92" s="30"/>
      <c r="B92" s="31"/>
      <c r="C92" s="31"/>
      <c r="D92" s="32"/>
      <c r="E92" s="15">
        <f t="shared" si="1"/>
        <v>0</v>
      </c>
    </row>
    <row r="93" ht="22.5" customHeight="1">
      <c r="A93" s="30"/>
      <c r="B93" s="31"/>
      <c r="C93" s="31"/>
      <c r="D93" s="32"/>
      <c r="E93" s="15">
        <f t="shared" si="1"/>
        <v>0</v>
      </c>
    </row>
    <row r="94" ht="22.5" customHeight="1">
      <c r="A94" s="30"/>
      <c r="B94" s="31"/>
      <c r="C94" s="31"/>
      <c r="D94" s="32"/>
      <c r="E94" s="15">
        <f t="shared" si="1"/>
        <v>0</v>
      </c>
    </row>
    <row r="95" ht="22.5" customHeight="1">
      <c r="A95" s="30"/>
      <c r="B95" s="31"/>
      <c r="C95" s="31"/>
      <c r="D95" s="32"/>
      <c r="E95" s="15">
        <f t="shared" si="1"/>
        <v>0</v>
      </c>
    </row>
    <row r="96" ht="22.5" customHeight="1">
      <c r="A96" s="30"/>
      <c r="B96" s="31"/>
      <c r="C96" s="31"/>
      <c r="D96" s="32"/>
      <c r="E96" s="15">
        <f t="shared" si="1"/>
        <v>0</v>
      </c>
    </row>
    <row r="97" ht="22.5" customHeight="1">
      <c r="A97" s="30"/>
      <c r="B97" s="31"/>
      <c r="C97" s="31"/>
      <c r="D97" s="32"/>
      <c r="E97" s="15">
        <f t="shared" si="1"/>
        <v>0</v>
      </c>
    </row>
    <row r="98" ht="22.5" customHeight="1">
      <c r="A98" s="30"/>
      <c r="B98" s="31"/>
      <c r="C98" s="31"/>
      <c r="D98" s="32"/>
      <c r="E98" s="15">
        <f t="shared" si="1"/>
        <v>0</v>
      </c>
    </row>
    <row r="99" ht="22.5" customHeight="1">
      <c r="A99" s="30"/>
      <c r="B99" s="31"/>
      <c r="C99" s="31"/>
      <c r="D99" s="32"/>
      <c r="E99" s="15">
        <f t="shared" si="1"/>
        <v>0</v>
      </c>
    </row>
    <row r="100" ht="22.5" customHeight="1">
      <c r="A100" s="30"/>
      <c r="B100" s="31"/>
      <c r="C100" s="31"/>
      <c r="D100" s="32"/>
      <c r="E100" s="15">
        <f t="shared" si="1"/>
        <v>0</v>
      </c>
    </row>
    <row r="101" ht="22.5" customHeight="1">
      <c r="A101" s="30"/>
      <c r="B101" s="31"/>
      <c r="C101" s="31"/>
      <c r="D101" s="32"/>
      <c r="E101" s="15">
        <f t="shared" si="1"/>
        <v>0</v>
      </c>
    </row>
    <row r="102" ht="22.5" customHeight="1">
      <c r="A102" s="30"/>
      <c r="B102" s="31"/>
      <c r="C102" s="31"/>
      <c r="D102" s="32"/>
      <c r="E102" s="15">
        <f t="shared" si="1"/>
        <v>0</v>
      </c>
    </row>
    <row r="103" ht="22.5" customHeight="1">
      <c r="A103" s="30"/>
      <c r="B103" s="31"/>
      <c r="C103" s="31"/>
      <c r="D103" s="32"/>
      <c r="E103" s="15">
        <f t="shared" si="1"/>
        <v>0</v>
      </c>
    </row>
    <row r="104" ht="22.5" customHeight="1">
      <c r="A104" s="30"/>
      <c r="B104" s="31"/>
      <c r="C104" s="31"/>
      <c r="D104" s="32"/>
      <c r="E104" s="15">
        <f t="shared" si="1"/>
        <v>0</v>
      </c>
    </row>
    <row r="105" ht="22.5" customHeight="1">
      <c r="A105" s="30"/>
      <c r="B105" s="31"/>
      <c r="C105" s="31"/>
      <c r="D105" s="32"/>
      <c r="E105" s="15">
        <f t="shared" si="1"/>
        <v>0</v>
      </c>
    </row>
    <row r="106" ht="22.5" customHeight="1">
      <c r="A106" s="30"/>
      <c r="B106" s="31"/>
      <c r="C106" s="31"/>
      <c r="D106" s="32"/>
      <c r="E106" s="15">
        <f t="shared" si="1"/>
        <v>0</v>
      </c>
    </row>
    <row r="107" ht="22.5" customHeight="1">
      <c r="A107" s="30"/>
      <c r="B107" s="31"/>
      <c r="C107" s="31"/>
      <c r="D107" s="32"/>
      <c r="E107" s="15">
        <f t="shared" si="1"/>
        <v>0</v>
      </c>
    </row>
    <row r="108" ht="22.5" customHeight="1">
      <c r="A108" s="30"/>
      <c r="B108" s="31"/>
      <c r="C108" s="31"/>
      <c r="D108" s="32"/>
      <c r="E108" s="15">
        <f t="shared" si="1"/>
        <v>0</v>
      </c>
    </row>
    <row r="109" ht="22.5" customHeight="1">
      <c r="A109" s="30"/>
      <c r="B109" s="31"/>
      <c r="C109" s="31"/>
      <c r="D109" s="32"/>
      <c r="E109" s="15">
        <f t="shared" si="1"/>
        <v>0</v>
      </c>
    </row>
    <row r="110" ht="22.5" customHeight="1">
      <c r="A110" s="30"/>
      <c r="B110" s="31"/>
      <c r="C110" s="31"/>
      <c r="D110" s="32"/>
      <c r="E110" s="15">
        <f t="shared" si="1"/>
        <v>0</v>
      </c>
    </row>
    <row r="111" ht="22.5" customHeight="1">
      <c r="A111" s="30"/>
      <c r="B111" s="31"/>
      <c r="C111" s="31"/>
      <c r="D111" s="32"/>
      <c r="E111" s="15">
        <f t="shared" si="1"/>
        <v>0</v>
      </c>
    </row>
    <row r="112" ht="22.5" customHeight="1">
      <c r="A112" s="30"/>
      <c r="B112" s="31"/>
      <c r="C112" s="31"/>
      <c r="D112" s="32"/>
      <c r="E112" s="15">
        <f t="shared" si="1"/>
        <v>0</v>
      </c>
    </row>
    <row r="113" ht="22.5" customHeight="1">
      <c r="A113" s="30"/>
      <c r="B113" s="31"/>
      <c r="C113" s="31"/>
      <c r="D113" s="32"/>
      <c r="E113" s="15">
        <f t="shared" si="1"/>
        <v>0</v>
      </c>
    </row>
    <row r="114" ht="22.5" customHeight="1">
      <c r="A114" s="30"/>
      <c r="B114" s="31"/>
      <c r="C114" s="31"/>
      <c r="D114" s="32"/>
      <c r="E114" s="15">
        <f t="shared" si="1"/>
        <v>0</v>
      </c>
    </row>
    <row r="115" ht="22.5" customHeight="1">
      <c r="A115" s="30"/>
      <c r="B115" s="31"/>
      <c r="C115" s="31"/>
      <c r="D115" s="32"/>
      <c r="E115" s="15">
        <f t="shared" si="1"/>
        <v>0</v>
      </c>
    </row>
    <row r="116" ht="22.5" customHeight="1">
      <c r="A116" s="30"/>
      <c r="B116" s="31"/>
      <c r="C116" s="31"/>
      <c r="D116" s="32"/>
      <c r="E116" s="15">
        <f t="shared" si="1"/>
        <v>0</v>
      </c>
    </row>
    <row r="117" ht="22.5" customHeight="1">
      <c r="A117" s="30"/>
      <c r="B117" s="31"/>
      <c r="C117" s="31"/>
      <c r="D117" s="32"/>
      <c r="E117" s="15">
        <f t="shared" si="1"/>
        <v>0</v>
      </c>
    </row>
    <row r="118" ht="22.5" customHeight="1">
      <c r="A118" s="30"/>
      <c r="B118" s="31"/>
      <c r="C118" s="31"/>
      <c r="D118" s="32"/>
      <c r="E118" s="15">
        <f t="shared" si="1"/>
        <v>0</v>
      </c>
    </row>
    <row r="119" ht="22.5" customHeight="1">
      <c r="A119" s="30"/>
      <c r="B119" s="31"/>
      <c r="C119" s="31"/>
      <c r="D119" s="32"/>
      <c r="E119" s="15">
        <f t="shared" si="1"/>
        <v>0</v>
      </c>
    </row>
    <row r="120" ht="22.5" customHeight="1">
      <c r="A120" s="30"/>
      <c r="B120" s="31"/>
      <c r="C120" s="31"/>
      <c r="D120" s="32"/>
      <c r="E120" s="15">
        <f t="shared" si="1"/>
        <v>0</v>
      </c>
    </row>
    <row r="121" ht="22.5" customHeight="1">
      <c r="A121" s="30"/>
      <c r="B121" s="31"/>
      <c r="C121" s="31"/>
      <c r="D121" s="32"/>
      <c r="E121" s="15">
        <f t="shared" si="1"/>
        <v>0</v>
      </c>
    </row>
    <row r="122" ht="22.5" customHeight="1">
      <c r="A122" s="30"/>
      <c r="B122" s="31"/>
      <c r="C122" s="31"/>
      <c r="D122" s="32"/>
      <c r="E122" s="15">
        <f t="shared" si="1"/>
        <v>0</v>
      </c>
    </row>
    <row r="123" ht="22.5" customHeight="1">
      <c r="A123" s="30"/>
      <c r="B123" s="31"/>
      <c r="C123" s="31"/>
      <c r="D123" s="32"/>
      <c r="E123" s="15">
        <f t="shared" si="1"/>
        <v>0</v>
      </c>
    </row>
    <row r="124" ht="22.5" customHeight="1">
      <c r="A124" s="30"/>
      <c r="B124" s="31"/>
      <c r="C124" s="31"/>
      <c r="D124" s="32"/>
      <c r="E124" s="15">
        <f t="shared" si="1"/>
        <v>0</v>
      </c>
    </row>
    <row r="125" ht="22.5" customHeight="1">
      <c r="A125" s="30"/>
      <c r="B125" s="31"/>
      <c r="C125" s="31"/>
      <c r="D125" s="32"/>
      <c r="E125" s="15">
        <f t="shared" si="1"/>
        <v>0</v>
      </c>
    </row>
    <row r="126" ht="22.5" customHeight="1">
      <c r="A126" s="30"/>
      <c r="B126" s="31"/>
      <c r="C126" s="31"/>
      <c r="D126" s="32"/>
      <c r="E126" s="15">
        <f t="shared" si="1"/>
        <v>0</v>
      </c>
    </row>
    <row r="127" ht="22.5" customHeight="1">
      <c r="A127" s="30"/>
      <c r="B127" s="31"/>
      <c r="C127" s="31"/>
      <c r="D127" s="32"/>
      <c r="E127" s="15">
        <f t="shared" si="1"/>
        <v>0</v>
      </c>
    </row>
    <row r="128" ht="22.5" customHeight="1">
      <c r="A128" s="30"/>
      <c r="B128" s="31"/>
      <c r="C128" s="31"/>
      <c r="D128" s="32"/>
      <c r="E128" s="15">
        <f t="shared" si="1"/>
        <v>0</v>
      </c>
    </row>
    <row r="129" ht="22.5" customHeight="1">
      <c r="A129" s="30"/>
      <c r="B129" s="31"/>
      <c r="C129" s="31"/>
      <c r="D129" s="32"/>
      <c r="E129" s="15">
        <f t="shared" si="1"/>
        <v>0</v>
      </c>
    </row>
    <row r="130" ht="22.5" customHeight="1">
      <c r="A130" s="30"/>
      <c r="B130" s="31"/>
      <c r="C130" s="31"/>
      <c r="D130" s="32"/>
      <c r="E130" s="15">
        <f t="shared" si="1"/>
        <v>0</v>
      </c>
    </row>
    <row r="131" ht="22.5" customHeight="1">
      <c r="A131" s="30"/>
      <c r="B131" s="31"/>
      <c r="C131" s="31"/>
      <c r="D131" s="32"/>
      <c r="E131" s="15">
        <f t="shared" si="1"/>
        <v>0</v>
      </c>
    </row>
    <row r="132" ht="22.5" customHeight="1">
      <c r="A132" s="30"/>
      <c r="B132" s="31"/>
      <c r="C132" s="31"/>
      <c r="D132" s="32"/>
      <c r="E132" s="15">
        <f t="shared" si="1"/>
        <v>0</v>
      </c>
    </row>
    <row r="133" ht="22.5" customHeight="1">
      <c r="A133" s="30"/>
      <c r="B133" s="31"/>
      <c r="C133" s="31"/>
      <c r="D133" s="32"/>
      <c r="E133" s="15">
        <f t="shared" si="1"/>
        <v>0</v>
      </c>
    </row>
    <row r="134" ht="22.5" customHeight="1">
      <c r="A134" s="30"/>
      <c r="B134" s="31"/>
      <c r="C134" s="31"/>
      <c r="D134" s="32"/>
      <c r="E134" s="15">
        <f t="shared" si="1"/>
        <v>0</v>
      </c>
    </row>
    <row r="135" ht="22.5" customHeight="1">
      <c r="A135" s="30"/>
      <c r="B135" s="31"/>
      <c r="C135" s="31"/>
      <c r="D135" s="32"/>
      <c r="E135" s="15">
        <f t="shared" si="1"/>
        <v>0</v>
      </c>
    </row>
    <row r="136" ht="22.5" customHeight="1">
      <c r="A136" s="30"/>
      <c r="B136" s="31"/>
      <c r="C136" s="31"/>
      <c r="D136" s="32"/>
      <c r="E136" s="15">
        <f t="shared" si="1"/>
        <v>0</v>
      </c>
    </row>
    <row r="137" ht="22.5" customHeight="1">
      <c r="A137" s="30"/>
      <c r="B137" s="31"/>
      <c r="C137" s="31"/>
      <c r="D137" s="32"/>
      <c r="E137" s="15">
        <f t="shared" si="1"/>
        <v>0</v>
      </c>
    </row>
    <row r="138" ht="22.5" customHeight="1">
      <c r="A138" s="30"/>
      <c r="B138" s="31"/>
      <c r="C138" s="31"/>
      <c r="D138" s="32"/>
      <c r="E138" s="15">
        <f t="shared" si="1"/>
        <v>0</v>
      </c>
    </row>
    <row r="139" ht="22.5" customHeight="1">
      <c r="A139" s="30"/>
      <c r="B139" s="31"/>
      <c r="C139" s="31"/>
      <c r="D139" s="32"/>
      <c r="E139" s="15">
        <f t="shared" si="1"/>
        <v>0</v>
      </c>
    </row>
    <row r="140" ht="22.5" customHeight="1">
      <c r="A140" s="30"/>
      <c r="B140" s="31"/>
      <c r="C140" s="31"/>
      <c r="D140" s="32"/>
      <c r="E140" s="15">
        <f t="shared" si="1"/>
        <v>0</v>
      </c>
    </row>
    <row r="141" ht="22.5" customHeight="1">
      <c r="A141" s="30"/>
      <c r="B141" s="31"/>
      <c r="C141" s="31"/>
      <c r="D141" s="32"/>
      <c r="E141" s="15">
        <f t="shared" si="1"/>
        <v>0</v>
      </c>
    </row>
    <row r="142" ht="22.5" customHeight="1">
      <c r="A142" s="30"/>
      <c r="B142" s="31"/>
      <c r="C142" s="31"/>
      <c r="D142" s="32"/>
      <c r="E142" s="15">
        <f t="shared" si="1"/>
        <v>0</v>
      </c>
    </row>
    <row r="143" ht="22.5" customHeight="1">
      <c r="A143" s="30"/>
      <c r="B143" s="31"/>
      <c r="C143" s="31"/>
      <c r="D143" s="32"/>
      <c r="E143" s="15">
        <f t="shared" si="1"/>
        <v>0</v>
      </c>
    </row>
    <row r="144" ht="22.5" customHeight="1">
      <c r="A144" s="30"/>
      <c r="B144" s="31"/>
      <c r="C144" s="31"/>
      <c r="D144" s="32"/>
      <c r="E144" s="15">
        <f t="shared" si="1"/>
        <v>0</v>
      </c>
    </row>
    <row r="145" ht="22.5" customHeight="1">
      <c r="A145" s="30"/>
      <c r="B145" s="31"/>
      <c r="C145" s="31"/>
      <c r="D145" s="32"/>
      <c r="E145" s="15">
        <f t="shared" si="1"/>
        <v>0</v>
      </c>
    </row>
    <row r="146" ht="22.5" customHeight="1">
      <c r="A146" s="30"/>
      <c r="B146" s="31"/>
      <c r="C146" s="31"/>
      <c r="D146" s="32"/>
      <c r="E146" s="15">
        <f t="shared" si="1"/>
        <v>0</v>
      </c>
    </row>
    <row r="147" ht="22.5" customHeight="1">
      <c r="A147" s="30"/>
      <c r="B147" s="31"/>
      <c r="C147" s="31"/>
      <c r="D147" s="32"/>
      <c r="E147" s="15">
        <f t="shared" si="1"/>
        <v>0</v>
      </c>
    </row>
    <row r="148" ht="22.5" customHeight="1">
      <c r="A148" s="30"/>
      <c r="B148" s="31"/>
      <c r="C148" s="31"/>
      <c r="D148" s="32"/>
      <c r="E148" s="15">
        <f t="shared" si="1"/>
        <v>0</v>
      </c>
    </row>
    <row r="149" ht="22.5" customHeight="1">
      <c r="A149" s="30"/>
      <c r="B149" s="31"/>
      <c r="C149" s="31"/>
      <c r="D149" s="32"/>
      <c r="E149" s="15">
        <f t="shared" si="1"/>
        <v>0</v>
      </c>
    </row>
    <row r="150" ht="22.5" customHeight="1">
      <c r="A150" s="30"/>
      <c r="B150" s="31"/>
      <c r="C150" s="31"/>
      <c r="D150" s="32"/>
      <c r="E150" s="15">
        <f t="shared" si="1"/>
        <v>0</v>
      </c>
    </row>
    <row r="151" ht="22.5" customHeight="1">
      <c r="A151" s="30"/>
      <c r="B151" s="31"/>
      <c r="C151" s="31"/>
      <c r="D151" s="32"/>
      <c r="E151" s="15">
        <f t="shared" si="1"/>
        <v>0</v>
      </c>
    </row>
    <row r="152" ht="22.5" customHeight="1">
      <c r="A152" s="30"/>
      <c r="B152" s="31"/>
      <c r="C152" s="31"/>
      <c r="D152" s="32"/>
      <c r="E152" s="15">
        <f t="shared" si="1"/>
        <v>0</v>
      </c>
    </row>
    <row r="153" ht="22.5" customHeight="1">
      <c r="A153" s="30"/>
      <c r="B153" s="31"/>
      <c r="C153" s="31"/>
      <c r="D153" s="32"/>
      <c r="E153" s="15">
        <f t="shared" si="1"/>
        <v>0</v>
      </c>
    </row>
    <row r="154" ht="22.5" customHeight="1">
      <c r="A154" s="30"/>
      <c r="B154" s="31"/>
      <c r="C154" s="31"/>
      <c r="D154" s="32"/>
      <c r="E154" s="15">
        <f t="shared" si="1"/>
        <v>0</v>
      </c>
    </row>
    <row r="155" ht="22.5" customHeight="1">
      <c r="A155" s="30"/>
      <c r="B155" s="31"/>
      <c r="C155" s="31"/>
      <c r="D155" s="32"/>
      <c r="E155" s="15">
        <f t="shared" si="1"/>
        <v>0</v>
      </c>
    </row>
    <row r="156" ht="22.5" customHeight="1">
      <c r="A156" s="30"/>
      <c r="B156" s="31"/>
      <c r="C156" s="31"/>
      <c r="D156" s="32"/>
      <c r="E156" s="15">
        <f t="shared" si="1"/>
        <v>0</v>
      </c>
    </row>
    <row r="157" ht="22.5" customHeight="1">
      <c r="A157" s="30"/>
      <c r="B157" s="31"/>
      <c r="C157" s="31"/>
      <c r="D157" s="32"/>
      <c r="E157" s="15">
        <f t="shared" si="1"/>
        <v>0</v>
      </c>
    </row>
    <row r="158" ht="22.5" customHeight="1">
      <c r="A158" s="30"/>
      <c r="B158" s="31"/>
      <c r="C158" s="31"/>
      <c r="D158" s="32"/>
      <c r="E158" s="15">
        <f t="shared" si="1"/>
        <v>0</v>
      </c>
    </row>
    <row r="159" ht="22.5" customHeight="1">
      <c r="A159" s="30"/>
      <c r="B159" s="31"/>
      <c r="C159" s="31"/>
      <c r="D159" s="32"/>
      <c r="E159" s="15">
        <f t="shared" si="1"/>
        <v>0</v>
      </c>
    </row>
    <row r="160" ht="22.5" customHeight="1">
      <c r="A160" s="30"/>
      <c r="B160" s="31"/>
      <c r="C160" s="31"/>
      <c r="D160" s="32"/>
      <c r="E160" s="15">
        <f t="shared" si="1"/>
        <v>0</v>
      </c>
    </row>
    <row r="161" ht="22.5" customHeight="1">
      <c r="A161" s="30"/>
      <c r="B161" s="31"/>
      <c r="C161" s="31"/>
      <c r="D161" s="32"/>
      <c r="E161" s="15">
        <f t="shared" si="1"/>
        <v>0</v>
      </c>
    </row>
    <row r="162" ht="22.5" customHeight="1">
      <c r="A162" s="30"/>
      <c r="B162" s="31"/>
      <c r="C162" s="31"/>
      <c r="D162" s="32"/>
      <c r="E162" s="15">
        <f t="shared" si="1"/>
        <v>0</v>
      </c>
    </row>
    <row r="163" ht="22.5" customHeight="1">
      <c r="A163" s="30"/>
      <c r="B163" s="31"/>
      <c r="C163" s="31"/>
      <c r="D163" s="32"/>
      <c r="E163" s="15">
        <f t="shared" si="1"/>
        <v>0</v>
      </c>
    </row>
    <row r="164" ht="22.5" customHeight="1">
      <c r="A164" s="30"/>
      <c r="B164" s="31"/>
      <c r="C164" s="31"/>
      <c r="D164" s="32"/>
      <c r="E164" s="15">
        <f t="shared" si="1"/>
        <v>0</v>
      </c>
    </row>
    <row r="165" ht="22.5" customHeight="1">
      <c r="A165" s="30"/>
      <c r="B165" s="31"/>
      <c r="C165" s="31"/>
      <c r="D165" s="32"/>
      <c r="E165" s="15">
        <f t="shared" si="1"/>
        <v>0</v>
      </c>
    </row>
    <row r="166" ht="22.5" customHeight="1">
      <c r="A166" s="30"/>
      <c r="B166" s="31"/>
      <c r="C166" s="31"/>
      <c r="D166" s="32"/>
      <c r="E166" s="15">
        <f t="shared" si="1"/>
        <v>0</v>
      </c>
    </row>
    <row r="167" ht="22.5" customHeight="1">
      <c r="A167" s="30"/>
      <c r="B167" s="31"/>
      <c r="C167" s="31"/>
      <c r="D167" s="32"/>
      <c r="E167" s="15">
        <f t="shared" si="1"/>
        <v>0</v>
      </c>
    </row>
    <row r="168" ht="22.5" customHeight="1">
      <c r="A168" s="30"/>
      <c r="B168" s="31"/>
      <c r="C168" s="31"/>
      <c r="D168" s="32"/>
      <c r="E168" s="15">
        <f t="shared" si="1"/>
        <v>0</v>
      </c>
    </row>
    <row r="169" ht="22.5" customHeight="1">
      <c r="A169" s="30"/>
      <c r="B169" s="31"/>
      <c r="C169" s="31"/>
      <c r="D169" s="32"/>
      <c r="E169" s="15">
        <f t="shared" si="1"/>
        <v>0</v>
      </c>
    </row>
    <row r="170" ht="22.5" customHeight="1">
      <c r="A170" s="30"/>
      <c r="B170" s="31"/>
      <c r="C170" s="31"/>
      <c r="D170" s="32"/>
      <c r="E170" s="15">
        <f t="shared" si="1"/>
        <v>0</v>
      </c>
    </row>
    <row r="171" ht="22.5" customHeight="1">
      <c r="A171" s="30"/>
      <c r="B171" s="31"/>
      <c r="C171" s="31"/>
      <c r="D171" s="32"/>
      <c r="E171" s="15">
        <f t="shared" si="1"/>
        <v>0</v>
      </c>
    </row>
    <row r="172" ht="22.5" customHeight="1">
      <c r="A172" s="30"/>
      <c r="B172" s="31"/>
      <c r="C172" s="31"/>
      <c r="D172" s="32"/>
      <c r="E172" s="15">
        <f t="shared" si="1"/>
        <v>0</v>
      </c>
    </row>
    <row r="173" ht="22.5" customHeight="1">
      <c r="A173" s="30"/>
      <c r="B173" s="31"/>
      <c r="C173" s="31"/>
      <c r="D173" s="32"/>
      <c r="E173" s="15">
        <f t="shared" si="1"/>
        <v>0</v>
      </c>
    </row>
    <row r="174" ht="22.5" customHeight="1">
      <c r="A174" s="30"/>
      <c r="B174" s="31"/>
      <c r="C174" s="31"/>
      <c r="D174" s="32"/>
      <c r="E174" s="15">
        <f t="shared" si="1"/>
        <v>0</v>
      </c>
    </row>
    <row r="175" ht="22.5" customHeight="1">
      <c r="A175" s="30"/>
      <c r="B175" s="31"/>
      <c r="C175" s="31"/>
      <c r="D175" s="32"/>
      <c r="E175" s="15">
        <f t="shared" si="1"/>
        <v>0</v>
      </c>
    </row>
    <row r="176" ht="22.5" customHeight="1">
      <c r="A176" s="30"/>
      <c r="B176" s="31"/>
      <c r="C176" s="31"/>
      <c r="D176" s="32"/>
      <c r="E176" s="15">
        <f t="shared" si="1"/>
        <v>0</v>
      </c>
    </row>
    <row r="177" ht="22.5" customHeight="1">
      <c r="A177" s="30"/>
      <c r="B177" s="31"/>
      <c r="C177" s="31"/>
      <c r="D177" s="32"/>
      <c r="E177" s="15">
        <f t="shared" si="1"/>
        <v>0</v>
      </c>
    </row>
    <row r="178" ht="22.5" customHeight="1">
      <c r="A178" s="30"/>
      <c r="B178" s="31"/>
      <c r="C178" s="31"/>
      <c r="D178" s="32"/>
      <c r="E178" s="15">
        <f t="shared" si="1"/>
        <v>0</v>
      </c>
    </row>
    <row r="179" ht="22.5" customHeight="1">
      <c r="A179" s="30"/>
      <c r="B179" s="31"/>
      <c r="C179" s="31"/>
      <c r="D179" s="32"/>
      <c r="E179" s="15">
        <f t="shared" si="1"/>
        <v>0</v>
      </c>
    </row>
    <row r="180" ht="22.5" customHeight="1">
      <c r="A180" s="30"/>
      <c r="B180" s="31"/>
      <c r="C180" s="31"/>
      <c r="D180" s="32"/>
      <c r="E180" s="15">
        <f t="shared" si="1"/>
        <v>0</v>
      </c>
    </row>
    <row r="181" ht="22.5" customHeight="1">
      <c r="A181" s="30"/>
      <c r="B181" s="31"/>
      <c r="C181" s="31"/>
      <c r="D181" s="32"/>
      <c r="E181" s="15">
        <f t="shared" si="1"/>
        <v>0</v>
      </c>
    </row>
    <row r="182" ht="22.5" customHeight="1">
      <c r="A182" s="30"/>
      <c r="B182" s="31"/>
      <c r="C182" s="31"/>
      <c r="D182" s="32"/>
      <c r="E182" s="15">
        <f t="shared" si="1"/>
        <v>0</v>
      </c>
    </row>
    <row r="183" ht="22.5" customHeight="1">
      <c r="A183" s="30"/>
      <c r="B183" s="31"/>
      <c r="C183" s="31"/>
      <c r="D183" s="32"/>
      <c r="E183" s="15">
        <f t="shared" si="1"/>
        <v>0</v>
      </c>
    </row>
    <row r="184" ht="22.5" customHeight="1">
      <c r="A184" s="30"/>
      <c r="B184" s="31"/>
      <c r="C184" s="31"/>
      <c r="D184" s="32"/>
      <c r="E184" s="15">
        <f t="shared" si="1"/>
        <v>0</v>
      </c>
    </row>
    <row r="185" ht="22.5" customHeight="1">
      <c r="A185" s="30"/>
      <c r="B185" s="31"/>
      <c r="C185" s="31"/>
      <c r="D185" s="32"/>
      <c r="E185" s="15">
        <f t="shared" si="1"/>
        <v>0</v>
      </c>
    </row>
    <row r="186" ht="22.5" customHeight="1">
      <c r="A186" s="30"/>
      <c r="B186" s="31"/>
      <c r="C186" s="31"/>
      <c r="D186" s="32"/>
      <c r="E186" s="15">
        <f t="shared" si="1"/>
        <v>0</v>
      </c>
    </row>
    <row r="187" ht="22.5" customHeight="1">
      <c r="A187" s="30"/>
      <c r="B187" s="31"/>
      <c r="C187" s="31"/>
      <c r="D187" s="32"/>
      <c r="E187" s="15">
        <f t="shared" si="1"/>
        <v>0</v>
      </c>
    </row>
    <row r="188" ht="22.5" customHeight="1">
      <c r="A188" s="30"/>
      <c r="B188" s="31"/>
      <c r="C188" s="31"/>
      <c r="D188" s="32"/>
      <c r="E188" s="15">
        <f t="shared" si="1"/>
        <v>0</v>
      </c>
    </row>
    <row r="189" ht="22.5" customHeight="1">
      <c r="A189" s="30"/>
      <c r="B189" s="31"/>
      <c r="C189" s="31"/>
      <c r="D189" s="32"/>
      <c r="E189" s="15">
        <f t="shared" si="1"/>
        <v>0</v>
      </c>
    </row>
    <row r="190" ht="22.5" customHeight="1">
      <c r="A190" s="30"/>
      <c r="B190" s="31"/>
      <c r="C190" s="31"/>
      <c r="D190" s="32"/>
      <c r="E190" s="15">
        <f t="shared" si="1"/>
        <v>0</v>
      </c>
    </row>
    <row r="191" ht="22.5" customHeight="1">
      <c r="A191" s="30"/>
      <c r="B191" s="31"/>
      <c r="C191" s="31"/>
      <c r="D191" s="32"/>
      <c r="E191" s="15">
        <f t="shared" si="1"/>
        <v>0</v>
      </c>
    </row>
    <row r="192" ht="22.5" customHeight="1">
      <c r="A192" s="30"/>
      <c r="B192" s="31"/>
      <c r="C192" s="31"/>
      <c r="D192" s="32"/>
      <c r="E192" s="15">
        <f t="shared" si="1"/>
        <v>0</v>
      </c>
    </row>
    <row r="193" ht="22.5" customHeight="1">
      <c r="A193" s="30"/>
      <c r="B193" s="31"/>
      <c r="C193" s="31"/>
      <c r="D193" s="32"/>
      <c r="E193" s="15">
        <f t="shared" si="1"/>
        <v>0</v>
      </c>
    </row>
    <row r="194" ht="22.5" customHeight="1">
      <c r="A194" s="30"/>
      <c r="B194" s="31"/>
      <c r="C194" s="31"/>
      <c r="D194" s="32"/>
      <c r="E194" s="15">
        <f t="shared" si="1"/>
        <v>0</v>
      </c>
    </row>
    <row r="195" ht="22.5" customHeight="1">
      <c r="A195" s="30"/>
      <c r="B195" s="31"/>
      <c r="C195" s="31"/>
      <c r="D195" s="32"/>
      <c r="E195" s="15">
        <f t="shared" si="1"/>
        <v>0</v>
      </c>
    </row>
    <row r="196" ht="22.5" customHeight="1">
      <c r="A196" s="30"/>
      <c r="B196" s="31"/>
      <c r="C196" s="31"/>
      <c r="D196" s="32"/>
      <c r="E196" s="15">
        <f t="shared" si="1"/>
        <v>0</v>
      </c>
    </row>
    <row r="197" ht="22.5" customHeight="1">
      <c r="A197" s="30"/>
      <c r="B197" s="31"/>
      <c r="C197" s="31"/>
      <c r="D197" s="32"/>
      <c r="E197" s="15">
        <f t="shared" si="1"/>
        <v>0</v>
      </c>
    </row>
    <row r="198" ht="22.5" customHeight="1">
      <c r="A198" s="30"/>
      <c r="B198" s="31"/>
      <c r="C198" s="31"/>
      <c r="D198" s="32"/>
      <c r="E198" s="15">
        <f t="shared" si="1"/>
        <v>0</v>
      </c>
    </row>
    <row r="199" ht="22.5" customHeight="1">
      <c r="A199" s="30"/>
      <c r="B199" s="31"/>
      <c r="C199" s="31"/>
      <c r="D199" s="32"/>
      <c r="E199" s="15">
        <f t="shared" si="1"/>
        <v>0</v>
      </c>
    </row>
    <row r="200" ht="22.5" customHeight="1">
      <c r="A200" s="30"/>
      <c r="B200" s="31"/>
      <c r="C200" s="31"/>
      <c r="D200" s="32"/>
      <c r="E200" s="15">
        <f t="shared" si="1"/>
        <v>0</v>
      </c>
    </row>
    <row r="201" ht="22.5" customHeight="1">
      <c r="A201" s="30"/>
      <c r="B201" s="31"/>
      <c r="C201" s="31"/>
      <c r="D201" s="32"/>
      <c r="E201" s="15">
        <f t="shared" si="1"/>
        <v>0</v>
      </c>
    </row>
    <row r="202" ht="22.5" customHeight="1">
      <c r="A202" s="30"/>
      <c r="B202" s="31"/>
      <c r="C202" s="31"/>
      <c r="D202" s="32"/>
      <c r="E202" s="15">
        <f t="shared" si="1"/>
        <v>0</v>
      </c>
    </row>
    <row r="203" ht="22.5" customHeight="1">
      <c r="A203" s="30"/>
      <c r="B203" s="31"/>
      <c r="C203" s="31"/>
      <c r="D203" s="32"/>
      <c r="E203" s="15">
        <f t="shared" si="1"/>
        <v>0</v>
      </c>
    </row>
    <row r="204" ht="22.5" customHeight="1">
      <c r="A204" s="30"/>
      <c r="B204" s="31"/>
      <c r="C204" s="31"/>
      <c r="D204" s="32"/>
      <c r="E204" s="15">
        <f t="shared" si="1"/>
        <v>0</v>
      </c>
    </row>
    <row r="205" ht="22.5" customHeight="1">
      <c r="A205" s="30"/>
      <c r="B205" s="31"/>
      <c r="C205" s="31"/>
      <c r="D205" s="32"/>
      <c r="E205" s="15">
        <f t="shared" si="1"/>
        <v>0</v>
      </c>
    </row>
    <row r="206" ht="22.5" customHeight="1">
      <c r="A206" s="30"/>
      <c r="B206" s="31"/>
      <c r="C206" s="31"/>
      <c r="D206" s="32"/>
      <c r="E206" s="15">
        <f t="shared" si="1"/>
        <v>0</v>
      </c>
    </row>
    <row r="207" ht="22.5" customHeight="1">
      <c r="A207" s="30"/>
      <c r="B207" s="31"/>
      <c r="C207" s="31"/>
      <c r="D207" s="32"/>
      <c r="E207" s="15">
        <f t="shared" si="1"/>
        <v>0</v>
      </c>
    </row>
    <row r="208" ht="22.5" customHeight="1">
      <c r="A208" s="30"/>
      <c r="B208" s="31"/>
      <c r="C208" s="31"/>
      <c r="D208" s="32"/>
      <c r="E208" s="15">
        <f t="shared" si="1"/>
        <v>0</v>
      </c>
    </row>
    <row r="209" ht="22.5" customHeight="1">
      <c r="A209" s="30"/>
      <c r="B209" s="31"/>
      <c r="C209" s="31"/>
      <c r="D209" s="32"/>
      <c r="E209" s="15">
        <f t="shared" si="1"/>
        <v>0</v>
      </c>
    </row>
    <row r="210" ht="22.5" customHeight="1">
      <c r="A210" s="30"/>
      <c r="B210" s="31"/>
      <c r="C210" s="31"/>
      <c r="D210" s="32"/>
      <c r="E210" s="15">
        <f t="shared" si="1"/>
        <v>0</v>
      </c>
    </row>
    <row r="211" ht="22.5" customHeight="1">
      <c r="A211" s="30"/>
      <c r="B211" s="31"/>
      <c r="C211" s="31"/>
      <c r="D211" s="32"/>
      <c r="E211" s="15">
        <f t="shared" si="1"/>
        <v>0</v>
      </c>
    </row>
    <row r="212" ht="22.5" customHeight="1">
      <c r="A212" s="30"/>
      <c r="B212" s="31"/>
      <c r="C212" s="31"/>
      <c r="D212" s="32"/>
      <c r="E212" s="15">
        <f t="shared" si="1"/>
        <v>0</v>
      </c>
    </row>
    <row r="213" ht="22.5" customHeight="1">
      <c r="A213" s="30"/>
      <c r="B213" s="31"/>
      <c r="C213" s="31"/>
      <c r="D213" s="32"/>
      <c r="E213" s="15">
        <f t="shared" si="1"/>
        <v>0</v>
      </c>
    </row>
    <row r="214" ht="22.5" customHeight="1">
      <c r="A214" s="30"/>
      <c r="B214" s="31"/>
      <c r="C214" s="31"/>
      <c r="D214" s="32"/>
      <c r="E214" s="15">
        <f t="shared" si="1"/>
        <v>0</v>
      </c>
    </row>
    <row r="215" ht="22.5" customHeight="1">
      <c r="A215" s="30"/>
      <c r="B215" s="31"/>
      <c r="C215" s="31"/>
      <c r="D215" s="32"/>
      <c r="E215" s="15">
        <f t="shared" si="1"/>
        <v>0</v>
      </c>
    </row>
    <row r="216" ht="22.5" customHeight="1">
      <c r="A216" s="30"/>
      <c r="B216" s="31"/>
      <c r="C216" s="31"/>
      <c r="D216" s="32"/>
      <c r="E216" s="15">
        <f t="shared" si="1"/>
        <v>0</v>
      </c>
    </row>
    <row r="217" ht="22.5" customHeight="1">
      <c r="A217" s="30"/>
      <c r="B217" s="31"/>
      <c r="C217" s="31"/>
      <c r="D217" s="32"/>
      <c r="E217" s="15">
        <f t="shared" si="1"/>
        <v>0</v>
      </c>
    </row>
    <row r="218" ht="22.5" customHeight="1">
      <c r="A218" s="30"/>
      <c r="B218" s="31"/>
      <c r="C218" s="31"/>
      <c r="D218" s="32"/>
      <c r="E218" s="15">
        <f t="shared" si="1"/>
        <v>0</v>
      </c>
    </row>
    <row r="219" ht="22.5" customHeight="1">
      <c r="A219" s="30"/>
      <c r="B219" s="31"/>
      <c r="C219" s="31"/>
      <c r="D219" s="32"/>
      <c r="E219" s="15">
        <f t="shared" si="1"/>
        <v>0</v>
      </c>
    </row>
    <row r="220" ht="22.5" customHeight="1">
      <c r="A220" s="30"/>
      <c r="B220" s="31"/>
      <c r="C220" s="31"/>
      <c r="D220" s="32"/>
      <c r="E220" s="15">
        <f t="shared" si="1"/>
        <v>0</v>
      </c>
    </row>
    <row r="221" ht="22.5" customHeight="1">
      <c r="A221" s="30"/>
      <c r="B221" s="31"/>
      <c r="C221" s="31"/>
      <c r="D221" s="32"/>
      <c r="E221" s="15">
        <f t="shared" si="1"/>
        <v>0</v>
      </c>
    </row>
    <row r="222" ht="22.5" customHeight="1">
      <c r="A222" s="30"/>
      <c r="B222" s="31"/>
      <c r="C222" s="31"/>
      <c r="D222" s="32"/>
      <c r="E222" s="15">
        <f t="shared" si="1"/>
        <v>0</v>
      </c>
    </row>
    <row r="223" ht="22.5" customHeight="1">
      <c r="A223" s="30"/>
      <c r="B223" s="31"/>
      <c r="C223" s="31"/>
      <c r="D223" s="32"/>
      <c r="E223" s="15">
        <f t="shared" si="1"/>
        <v>0</v>
      </c>
    </row>
    <row r="224" ht="22.5" customHeight="1">
      <c r="A224" s="30"/>
      <c r="B224" s="31"/>
      <c r="C224" s="31"/>
      <c r="D224" s="32"/>
      <c r="E224" s="15">
        <f t="shared" si="1"/>
        <v>0</v>
      </c>
    </row>
    <row r="225" ht="22.5" customHeight="1">
      <c r="A225" s="30"/>
      <c r="B225" s="31"/>
      <c r="C225" s="31"/>
      <c r="D225" s="32"/>
      <c r="E225" s="15">
        <f t="shared" si="1"/>
        <v>0</v>
      </c>
    </row>
    <row r="226" ht="22.5" customHeight="1">
      <c r="A226" s="30"/>
      <c r="B226" s="31"/>
      <c r="C226" s="31"/>
      <c r="D226" s="32"/>
      <c r="E226" s="15">
        <f t="shared" si="1"/>
        <v>0</v>
      </c>
    </row>
    <row r="227" ht="22.5" customHeight="1">
      <c r="A227" s="30"/>
      <c r="B227" s="31"/>
      <c r="C227" s="31"/>
      <c r="D227" s="32"/>
      <c r="E227" s="15">
        <f t="shared" si="1"/>
        <v>0</v>
      </c>
    </row>
    <row r="228" ht="22.5" customHeight="1">
      <c r="A228" s="30"/>
      <c r="B228" s="31"/>
      <c r="C228" s="31"/>
      <c r="D228" s="32"/>
      <c r="E228" s="15">
        <f t="shared" si="1"/>
        <v>0</v>
      </c>
    </row>
    <row r="229" ht="22.5" customHeight="1">
      <c r="A229" s="30"/>
      <c r="B229" s="31"/>
      <c r="C229" s="31"/>
      <c r="D229" s="32"/>
      <c r="E229" s="15">
        <f t="shared" si="1"/>
        <v>0</v>
      </c>
    </row>
    <row r="230" ht="22.5" customHeight="1">
      <c r="A230" s="30"/>
      <c r="B230" s="31"/>
      <c r="C230" s="31"/>
      <c r="D230" s="32"/>
      <c r="E230" s="15">
        <f t="shared" si="1"/>
        <v>0</v>
      </c>
    </row>
    <row r="231" ht="22.5" customHeight="1">
      <c r="A231" s="30"/>
      <c r="B231" s="31"/>
      <c r="C231" s="31"/>
      <c r="D231" s="32"/>
      <c r="E231" s="15">
        <f t="shared" si="1"/>
        <v>0</v>
      </c>
    </row>
    <row r="232" ht="22.5" customHeight="1">
      <c r="A232" s="30"/>
      <c r="B232" s="31"/>
      <c r="C232" s="31"/>
      <c r="D232" s="32"/>
      <c r="E232" s="15">
        <f t="shared" si="1"/>
        <v>0</v>
      </c>
    </row>
    <row r="233" ht="22.5" customHeight="1">
      <c r="A233" s="30"/>
      <c r="B233" s="31"/>
      <c r="C233" s="31"/>
      <c r="D233" s="32"/>
      <c r="E233" s="15">
        <f t="shared" si="1"/>
        <v>0</v>
      </c>
    </row>
    <row r="234" ht="22.5" customHeight="1">
      <c r="A234" s="30"/>
      <c r="B234" s="31"/>
      <c r="C234" s="31"/>
      <c r="D234" s="32"/>
      <c r="E234" s="15">
        <f t="shared" si="1"/>
        <v>0</v>
      </c>
    </row>
    <row r="235" ht="22.5" customHeight="1">
      <c r="A235" s="30"/>
      <c r="B235" s="31"/>
      <c r="C235" s="31"/>
      <c r="D235" s="32"/>
      <c r="E235" s="15">
        <f t="shared" si="1"/>
        <v>0</v>
      </c>
    </row>
    <row r="236" ht="22.5" customHeight="1">
      <c r="A236" s="30"/>
      <c r="B236" s="31"/>
      <c r="C236" s="31"/>
      <c r="D236" s="32"/>
      <c r="E236" s="15">
        <f t="shared" si="1"/>
        <v>0</v>
      </c>
    </row>
    <row r="237" ht="22.5" customHeight="1">
      <c r="A237" s="30"/>
      <c r="B237" s="31"/>
      <c r="C237" s="31"/>
      <c r="D237" s="32"/>
      <c r="E237" s="15">
        <f t="shared" si="1"/>
        <v>0</v>
      </c>
    </row>
    <row r="238" ht="22.5" customHeight="1">
      <c r="A238" s="30"/>
      <c r="B238" s="31"/>
      <c r="C238" s="31"/>
      <c r="D238" s="32"/>
      <c r="E238" s="15">
        <f t="shared" si="1"/>
        <v>0</v>
      </c>
    </row>
    <row r="239" ht="22.5" customHeight="1">
      <c r="A239" s="30"/>
      <c r="B239" s="31"/>
      <c r="C239" s="31"/>
      <c r="D239" s="32"/>
      <c r="E239" s="15">
        <f t="shared" si="1"/>
        <v>0</v>
      </c>
    </row>
    <row r="240" ht="22.5" customHeight="1">
      <c r="A240" s="30"/>
      <c r="B240" s="31"/>
      <c r="C240" s="31"/>
      <c r="D240" s="32"/>
      <c r="E240" s="15">
        <f t="shared" si="1"/>
        <v>0</v>
      </c>
    </row>
    <row r="241" ht="22.5" customHeight="1">
      <c r="A241" s="30"/>
      <c r="B241" s="31"/>
      <c r="C241" s="31"/>
      <c r="D241" s="32"/>
      <c r="E241" s="15">
        <f t="shared" si="1"/>
        <v>0</v>
      </c>
    </row>
    <row r="242" ht="22.5" customHeight="1">
      <c r="A242" s="30"/>
      <c r="B242" s="31"/>
      <c r="C242" s="31"/>
      <c r="D242" s="32"/>
      <c r="E242" s="15">
        <f t="shared" si="1"/>
        <v>0</v>
      </c>
    </row>
    <row r="243" ht="22.5" customHeight="1">
      <c r="A243" s="30"/>
      <c r="B243" s="31"/>
      <c r="C243" s="31"/>
      <c r="D243" s="32"/>
      <c r="E243" s="15">
        <f t="shared" si="1"/>
        <v>0</v>
      </c>
    </row>
    <row r="244" ht="22.5" customHeight="1">
      <c r="A244" s="30"/>
      <c r="B244" s="31"/>
      <c r="C244" s="31"/>
      <c r="D244" s="32"/>
      <c r="E244" s="15">
        <f t="shared" si="1"/>
        <v>0</v>
      </c>
    </row>
    <row r="245" ht="22.5" customHeight="1">
      <c r="A245" s="30"/>
      <c r="B245" s="31"/>
      <c r="C245" s="31"/>
      <c r="D245" s="32"/>
      <c r="E245" s="15">
        <f t="shared" si="1"/>
        <v>0</v>
      </c>
    </row>
    <row r="246" ht="22.5" customHeight="1">
      <c r="A246" s="30"/>
      <c r="B246" s="31"/>
      <c r="C246" s="31"/>
      <c r="D246" s="32"/>
      <c r="E246" s="15">
        <f t="shared" si="1"/>
        <v>0</v>
      </c>
    </row>
    <row r="247" ht="22.5" customHeight="1">
      <c r="A247" s="30"/>
      <c r="B247" s="31"/>
      <c r="C247" s="31"/>
      <c r="D247" s="32"/>
      <c r="E247" s="15">
        <f t="shared" si="1"/>
        <v>0</v>
      </c>
    </row>
    <row r="248" ht="22.5" customHeight="1">
      <c r="A248" s="30"/>
      <c r="B248" s="31"/>
      <c r="C248" s="31"/>
      <c r="D248" s="32"/>
      <c r="E248" s="15">
        <f t="shared" si="1"/>
        <v>0</v>
      </c>
    </row>
    <row r="249" ht="22.5" customHeight="1">
      <c r="A249" s="30"/>
      <c r="B249" s="31"/>
      <c r="C249" s="31"/>
      <c r="D249" s="32"/>
      <c r="E249" s="15">
        <f t="shared" si="1"/>
        <v>0</v>
      </c>
    </row>
    <row r="250" ht="22.5" customHeight="1">
      <c r="A250" s="30"/>
      <c r="B250" s="31"/>
      <c r="C250" s="31"/>
      <c r="D250" s="32"/>
      <c r="E250" s="15">
        <f t="shared" si="1"/>
        <v>0</v>
      </c>
    </row>
    <row r="251" ht="22.5" customHeight="1">
      <c r="A251" s="30"/>
      <c r="B251" s="31"/>
      <c r="C251" s="31"/>
      <c r="D251" s="32"/>
      <c r="E251" s="15">
        <f t="shared" si="1"/>
        <v>0</v>
      </c>
    </row>
    <row r="252" ht="22.5" customHeight="1">
      <c r="A252" s="30"/>
      <c r="B252" s="31"/>
      <c r="C252" s="31"/>
      <c r="D252" s="32"/>
      <c r="E252" s="15">
        <f t="shared" si="1"/>
        <v>0</v>
      </c>
    </row>
    <row r="253" ht="22.5" customHeight="1">
      <c r="A253" s="30"/>
      <c r="B253" s="31"/>
      <c r="C253" s="31"/>
      <c r="D253" s="32"/>
      <c r="E253" s="15">
        <f t="shared" si="1"/>
        <v>0</v>
      </c>
    </row>
    <row r="254" ht="22.5" customHeight="1">
      <c r="A254" s="30"/>
      <c r="B254" s="31"/>
      <c r="C254" s="31"/>
      <c r="D254" s="32"/>
      <c r="E254" s="15">
        <f t="shared" si="1"/>
        <v>0</v>
      </c>
    </row>
    <row r="255" ht="22.5" customHeight="1">
      <c r="A255" s="30"/>
      <c r="B255" s="31"/>
      <c r="C255" s="31"/>
      <c r="D255" s="32"/>
      <c r="E255" s="15">
        <f t="shared" si="1"/>
        <v>0</v>
      </c>
    </row>
    <row r="256" ht="22.5" customHeight="1">
      <c r="A256" s="30"/>
      <c r="B256" s="31"/>
      <c r="C256" s="31"/>
      <c r="D256" s="32"/>
      <c r="E256" s="15">
        <f t="shared" si="1"/>
        <v>0</v>
      </c>
    </row>
    <row r="257" ht="22.5" customHeight="1">
      <c r="A257" s="30"/>
      <c r="B257" s="31"/>
      <c r="C257" s="31"/>
      <c r="D257" s="32"/>
      <c r="E257" s="15">
        <f t="shared" si="1"/>
        <v>0</v>
      </c>
    </row>
    <row r="258" ht="22.5" customHeight="1">
      <c r="A258" s="30"/>
      <c r="B258" s="31"/>
      <c r="C258" s="31"/>
      <c r="D258" s="32"/>
      <c r="E258" s="15">
        <f t="shared" si="1"/>
        <v>0</v>
      </c>
    </row>
    <row r="259" ht="22.5" customHeight="1">
      <c r="A259" s="30"/>
      <c r="B259" s="31"/>
      <c r="C259" s="31"/>
      <c r="D259" s="32"/>
      <c r="E259" s="15">
        <f t="shared" si="1"/>
        <v>0</v>
      </c>
    </row>
    <row r="260" ht="22.5" customHeight="1">
      <c r="A260" s="30"/>
      <c r="B260" s="31"/>
      <c r="C260" s="31"/>
      <c r="D260" s="32"/>
      <c r="E260" s="15">
        <f t="shared" si="1"/>
        <v>0</v>
      </c>
    </row>
    <row r="261" ht="22.5" customHeight="1">
      <c r="A261" s="30"/>
      <c r="B261" s="31"/>
      <c r="C261" s="31"/>
      <c r="D261" s="32"/>
      <c r="E261" s="15">
        <f t="shared" si="1"/>
        <v>0</v>
      </c>
    </row>
    <row r="262" ht="22.5" customHeight="1">
      <c r="A262" s="30"/>
      <c r="B262" s="31"/>
      <c r="C262" s="31"/>
      <c r="D262" s="32"/>
      <c r="E262" s="15">
        <f t="shared" si="1"/>
        <v>0</v>
      </c>
    </row>
    <row r="263" ht="22.5" customHeight="1">
      <c r="A263" s="30"/>
      <c r="B263" s="31"/>
      <c r="C263" s="31"/>
      <c r="D263" s="32"/>
      <c r="E263" s="15">
        <f t="shared" si="1"/>
        <v>0</v>
      </c>
    </row>
    <row r="264" ht="22.5" customHeight="1">
      <c r="A264" s="30"/>
      <c r="B264" s="31"/>
      <c r="C264" s="31"/>
      <c r="D264" s="32"/>
      <c r="E264" s="15">
        <f t="shared" si="1"/>
        <v>0</v>
      </c>
    </row>
    <row r="265" ht="22.5" customHeight="1">
      <c r="A265" s="30"/>
      <c r="B265" s="31"/>
      <c r="C265" s="31"/>
      <c r="D265" s="32"/>
      <c r="E265" s="15">
        <f t="shared" si="1"/>
        <v>0</v>
      </c>
    </row>
    <row r="266" ht="22.5" customHeight="1">
      <c r="A266" s="30"/>
      <c r="B266" s="31"/>
      <c r="C266" s="31"/>
      <c r="D266" s="32"/>
      <c r="E266" s="15">
        <f t="shared" si="1"/>
        <v>0</v>
      </c>
    </row>
    <row r="267" ht="22.5" customHeight="1">
      <c r="A267" s="30"/>
      <c r="B267" s="31"/>
      <c r="C267" s="31"/>
      <c r="D267" s="32"/>
      <c r="E267" s="15">
        <f t="shared" si="1"/>
        <v>0</v>
      </c>
    </row>
    <row r="268" ht="22.5" customHeight="1">
      <c r="A268" s="30"/>
      <c r="B268" s="31"/>
      <c r="C268" s="31"/>
      <c r="D268" s="32"/>
      <c r="E268" s="15">
        <f t="shared" si="1"/>
        <v>0</v>
      </c>
    </row>
    <row r="269" ht="22.5" customHeight="1">
      <c r="A269" s="30"/>
      <c r="B269" s="31"/>
      <c r="C269" s="31"/>
      <c r="D269" s="32"/>
      <c r="E269" s="15">
        <f t="shared" si="1"/>
        <v>0</v>
      </c>
    </row>
    <row r="270" ht="22.5" customHeight="1">
      <c r="A270" s="30"/>
      <c r="B270" s="31"/>
      <c r="C270" s="31"/>
      <c r="D270" s="32"/>
      <c r="E270" s="15">
        <f t="shared" si="1"/>
        <v>0</v>
      </c>
    </row>
    <row r="271" ht="22.5" customHeight="1">
      <c r="A271" s="30"/>
      <c r="B271" s="31"/>
      <c r="C271" s="31"/>
      <c r="D271" s="32"/>
      <c r="E271" s="15">
        <f t="shared" si="1"/>
        <v>0</v>
      </c>
    </row>
    <row r="272" ht="22.5" customHeight="1">
      <c r="A272" s="30"/>
      <c r="B272" s="31"/>
      <c r="C272" s="31"/>
      <c r="D272" s="32"/>
      <c r="E272" s="15">
        <f t="shared" si="1"/>
        <v>0</v>
      </c>
    </row>
    <row r="273" ht="22.5" customHeight="1">
      <c r="A273" s="30"/>
      <c r="B273" s="31"/>
      <c r="C273" s="31"/>
      <c r="D273" s="32"/>
      <c r="E273" s="15">
        <f t="shared" si="1"/>
        <v>0</v>
      </c>
    </row>
    <row r="274" ht="22.5" customHeight="1">
      <c r="A274" s="30"/>
      <c r="B274" s="31"/>
      <c r="C274" s="31"/>
      <c r="D274" s="32"/>
      <c r="E274" s="15">
        <f t="shared" si="1"/>
        <v>0</v>
      </c>
    </row>
    <row r="275" ht="22.5" customHeight="1">
      <c r="A275" s="30"/>
      <c r="B275" s="31"/>
      <c r="C275" s="31"/>
      <c r="D275" s="32"/>
      <c r="E275" s="15">
        <f t="shared" si="1"/>
        <v>0</v>
      </c>
    </row>
    <row r="276" ht="22.5" customHeight="1">
      <c r="A276" s="30"/>
      <c r="B276" s="31"/>
      <c r="C276" s="31"/>
      <c r="D276" s="32"/>
      <c r="E276" s="15">
        <f t="shared" si="1"/>
        <v>0</v>
      </c>
    </row>
    <row r="277" ht="22.5" customHeight="1">
      <c r="A277" s="30"/>
      <c r="B277" s="31"/>
      <c r="C277" s="31"/>
      <c r="D277" s="32"/>
      <c r="E277" s="15">
        <f t="shared" si="1"/>
        <v>0</v>
      </c>
    </row>
    <row r="278" ht="22.5" customHeight="1">
      <c r="A278" s="30"/>
      <c r="B278" s="31"/>
      <c r="C278" s="31"/>
      <c r="D278" s="32"/>
      <c r="E278" s="15">
        <f t="shared" si="1"/>
        <v>0</v>
      </c>
    </row>
    <row r="279" ht="22.5" customHeight="1">
      <c r="A279" s="30"/>
      <c r="B279" s="31"/>
      <c r="C279" s="31"/>
      <c r="D279" s="32"/>
      <c r="E279" s="15">
        <f t="shared" si="1"/>
        <v>0</v>
      </c>
    </row>
    <row r="280" ht="22.5" customHeight="1">
      <c r="A280" s="30"/>
      <c r="B280" s="31"/>
      <c r="C280" s="31"/>
      <c r="D280" s="32"/>
      <c r="E280" s="15">
        <f t="shared" si="1"/>
        <v>0</v>
      </c>
    </row>
    <row r="281" ht="22.5" customHeight="1">
      <c r="A281" s="30"/>
      <c r="B281" s="31"/>
      <c r="C281" s="31"/>
      <c r="D281" s="32"/>
      <c r="E281" s="15">
        <f t="shared" si="1"/>
        <v>0</v>
      </c>
    </row>
    <row r="282" ht="22.5" customHeight="1">
      <c r="A282" s="30"/>
      <c r="B282" s="31"/>
      <c r="C282" s="31"/>
      <c r="D282" s="32"/>
      <c r="E282" s="15">
        <f t="shared" si="1"/>
        <v>0</v>
      </c>
    </row>
    <row r="283" ht="22.5" customHeight="1">
      <c r="A283" s="30"/>
      <c r="B283" s="31"/>
      <c r="C283" s="31"/>
      <c r="D283" s="32"/>
      <c r="E283" s="15">
        <f t="shared" si="1"/>
        <v>0</v>
      </c>
    </row>
    <row r="284" ht="22.5" customHeight="1">
      <c r="A284" s="30"/>
      <c r="B284" s="31"/>
      <c r="C284" s="31"/>
      <c r="D284" s="32"/>
      <c r="E284" s="15">
        <f t="shared" si="1"/>
        <v>0</v>
      </c>
    </row>
    <row r="285" ht="22.5" customHeight="1">
      <c r="A285" s="30"/>
      <c r="B285" s="31"/>
      <c r="C285" s="31"/>
      <c r="D285" s="32"/>
      <c r="E285" s="15">
        <f t="shared" si="1"/>
        <v>0</v>
      </c>
    </row>
    <row r="286" ht="22.5" customHeight="1">
      <c r="A286" s="30"/>
      <c r="B286" s="31"/>
      <c r="C286" s="31"/>
      <c r="D286" s="32"/>
      <c r="E286" s="15">
        <f t="shared" si="1"/>
        <v>0</v>
      </c>
    </row>
    <row r="287" ht="22.5" customHeight="1">
      <c r="A287" s="30"/>
      <c r="B287" s="31"/>
      <c r="C287" s="31"/>
      <c r="D287" s="32"/>
      <c r="E287" s="15">
        <f t="shared" si="1"/>
        <v>0</v>
      </c>
    </row>
    <row r="288" ht="22.5" customHeight="1">
      <c r="A288" s="30"/>
      <c r="B288" s="31"/>
      <c r="C288" s="31"/>
      <c r="D288" s="32"/>
      <c r="E288" s="15">
        <f t="shared" si="1"/>
        <v>0</v>
      </c>
    </row>
    <row r="289" ht="22.5" customHeight="1">
      <c r="A289" s="30"/>
      <c r="B289" s="31"/>
      <c r="C289" s="31"/>
      <c r="D289" s="32"/>
      <c r="E289" s="15">
        <f t="shared" si="1"/>
        <v>0</v>
      </c>
    </row>
    <row r="290" ht="22.5" customHeight="1">
      <c r="A290" s="30"/>
      <c r="B290" s="31"/>
      <c r="C290" s="31"/>
      <c r="D290" s="32"/>
      <c r="E290" s="15">
        <f t="shared" si="1"/>
        <v>0</v>
      </c>
    </row>
    <row r="291" ht="22.5" customHeight="1">
      <c r="A291" s="30"/>
      <c r="B291" s="31"/>
      <c r="C291" s="31"/>
      <c r="D291" s="32"/>
      <c r="E291" s="15">
        <f t="shared" si="1"/>
        <v>0</v>
      </c>
    </row>
    <row r="292" ht="22.5" customHeight="1">
      <c r="A292" s="30"/>
      <c r="B292" s="31"/>
      <c r="C292" s="31"/>
      <c r="D292" s="32"/>
      <c r="E292" s="15">
        <f t="shared" si="1"/>
        <v>0</v>
      </c>
    </row>
    <row r="293" ht="22.5" customHeight="1">
      <c r="A293" s="30"/>
      <c r="B293" s="31"/>
      <c r="C293" s="31"/>
      <c r="D293" s="32"/>
      <c r="E293" s="15">
        <f t="shared" si="1"/>
        <v>0</v>
      </c>
    </row>
    <row r="294" ht="22.5" customHeight="1">
      <c r="A294" s="30"/>
      <c r="B294" s="31"/>
      <c r="C294" s="31"/>
      <c r="D294" s="32"/>
      <c r="E294" s="15">
        <f t="shared" si="1"/>
        <v>0</v>
      </c>
    </row>
    <row r="295" ht="22.5" customHeight="1">
      <c r="A295" s="30"/>
      <c r="B295" s="31"/>
      <c r="C295" s="31"/>
      <c r="D295" s="32"/>
      <c r="E295" s="15">
        <f t="shared" si="1"/>
        <v>0</v>
      </c>
    </row>
    <row r="296" ht="22.5" customHeight="1">
      <c r="A296" s="30"/>
      <c r="B296" s="31"/>
      <c r="C296" s="31"/>
      <c r="D296" s="32"/>
      <c r="E296" s="15">
        <f t="shared" si="1"/>
        <v>0</v>
      </c>
    </row>
    <row r="297" ht="22.5" customHeight="1">
      <c r="A297" s="30"/>
      <c r="B297" s="31"/>
      <c r="C297" s="31"/>
      <c r="D297" s="32"/>
      <c r="E297" s="15">
        <f t="shared" si="1"/>
        <v>0</v>
      </c>
    </row>
    <row r="298" ht="22.5" customHeight="1">
      <c r="A298" s="30"/>
      <c r="B298" s="31"/>
      <c r="C298" s="31"/>
      <c r="D298" s="32"/>
      <c r="E298" s="15">
        <f t="shared" si="1"/>
        <v>0</v>
      </c>
    </row>
    <row r="299" ht="22.5" customHeight="1">
      <c r="A299" s="30"/>
      <c r="B299" s="31"/>
      <c r="C299" s="31"/>
      <c r="D299" s="32"/>
      <c r="E299" s="15">
        <f t="shared" si="1"/>
        <v>0</v>
      </c>
    </row>
    <row r="300" ht="22.5" customHeight="1">
      <c r="A300" s="30"/>
      <c r="B300" s="31"/>
      <c r="C300" s="31"/>
      <c r="D300" s="32"/>
      <c r="E300" s="15">
        <f t="shared" si="1"/>
        <v>0</v>
      </c>
    </row>
    <row r="301" ht="22.5" customHeight="1">
      <c r="A301" s="30"/>
      <c r="B301" s="31"/>
      <c r="C301" s="31"/>
      <c r="D301" s="32"/>
      <c r="E301" s="15">
        <f t="shared" si="1"/>
        <v>0</v>
      </c>
    </row>
    <row r="302" ht="22.5" customHeight="1">
      <c r="A302" s="30"/>
      <c r="B302" s="31"/>
      <c r="C302" s="31"/>
      <c r="D302" s="32"/>
      <c r="E302" s="15">
        <f t="shared" si="1"/>
        <v>0</v>
      </c>
    </row>
    <row r="303" ht="22.5" customHeight="1">
      <c r="A303" s="30"/>
      <c r="B303" s="31"/>
      <c r="C303" s="31"/>
      <c r="D303" s="32"/>
      <c r="E303" s="15">
        <f t="shared" si="1"/>
        <v>0</v>
      </c>
    </row>
    <row r="304" ht="22.5" customHeight="1">
      <c r="A304" s="30"/>
      <c r="B304" s="31"/>
      <c r="C304" s="31"/>
      <c r="D304" s="32"/>
      <c r="E304" s="15">
        <f t="shared" si="1"/>
        <v>0</v>
      </c>
    </row>
    <row r="305" ht="22.5" customHeight="1">
      <c r="A305" s="30"/>
      <c r="B305" s="31"/>
      <c r="C305" s="31"/>
      <c r="D305" s="32"/>
      <c r="E305" s="15">
        <f t="shared" si="1"/>
        <v>0</v>
      </c>
    </row>
    <row r="306" ht="22.5" customHeight="1">
      <c r="A306" s="30"/>
      <c r="B306" s="31"/>
      <c r="C306" s="31"/>
      <c r="D306" s="32"/>
      <c r="E306" s="15">
        <f t="shared" si="1"/>
        <v>0</v>
      </c>
    </row>
    <row r="307" ht="22.5" customHeight="1">
      <c r="A307" s="30"/>
      <c r="B307" s="31"/>
      <c r="C307" s="31"/>
      <c r="D307" s="32"/>
      <c r="E307" s="15">
        <f t="shared" si="1"/>
        <v>0</v>
      </c>
    </row>
    <row r="308" ht="22.5" customHeight="1">
      <c r="A308" s="30"/>
      <c r="B308" s="31"/>
      <c r="C308" s="31"/>
      <c r="D308" s="32"/>
      <c r="E308" s="15">
        <f t="shared" si="1"/>
        <v>0</v>
      </c>
    </row>
    <row r="309" ht="22.5" customHeight="1">
      <c r="A309" s="30"/>
      <c r="B309" s="31"/>
      <c r="C309" s="31"/>
      <c r="D309" s="32"/>
      <c r="E309" s="15">
        <f t="shared" si="1"/>
        <v>0</v>
      </c>
    </row>
    <row r="310" ht="22.5" customHeight="1">
      <c r="A310" s="30"/>
      <c r="B310" s="31"/>
      <c r="C310" s="31"/>
      <c r="D310" s="32"/>
      <c r="E310" s="15">
        <f t="shared" si="1"/>
        <v>0</v>
      </c>
    </row>
    <row r="311" ht="22.5" customHeight="1">
      <c r="A311" s="30"/>
      <c r="B311" s="31"/>
      <c r="C311" s="31"/>
      <c r="D311" s="32"/>
      <c r="E311" s="15">
        <f t="shared" si="1"/>
        <v>0</v>
      </c>
    </row>
    <row r="312" ht="22.5" customHeight="1">
      <c r="A312" s="30"/>
      <c r="B312" s="31"/>
      <c r="C312" s="31"/>
      <c r="D312" s="32"/>
      <c r="E312" s="15">
        <f t="shared" si="1"/>
        <v>0</v>
      </c>
    </row>
    <row r="313" ht="22.5" customHeight="1">
      <c r="A313" s="30"/>
      <c r="B313" s="31"/>
      <c r="C313" s="31"/>
      <c r="D313" s="32"/>
      <c r="E313" s="15">
        <f t="shared" si="1"/>
        <v>0</v>
      </c>
    </row>
    <row r="314" ht="22.5" customHeight="1">
      <c r="A314" s="30"/>
      <c r="B314" s="31"/>
      <c r="C314" s="31"/>
      <c r="D314" s="32"/>
      <c r="E314" s="15">
        <f t="shared" si="1"/>
        <v>0</v>
      </c>
    </row>
    <row r="315" ht="22.5" customHeight="1">
      <c r="A315" s="30"/>
      <c r="B315" s="31"/>
      <c r="C315" s="31"/>
      <c r="D315" s="32"/>
      <c r="E315" s="15">
        <f t="shared" si="1"/>
        <v>0</v>
      </c>
    </row>
    <row r="316" ht="22.5" customHeight="1">
      <c r="A316" s="30"/>
      <c r="B316" s="31"/>
      <c r="C316" s="31"/>
      <c r="D316" s="32"/>
      <c r="E316" s="15">
        <f t="shared" si="1"/>
        <v>0</v>
      </c>
    </row>
    <row r="317" ht="22.5" customHeight="1">
      <c r="A317" s="30"/>
      <c r="B317" s="31"/>
      <c r="C317" s="31"/>
      <c r="D317" s="32"/>
      <c r="E317" s="15">
        <f t="shared" si="1"/>
        <v>0</v>
      </c>
    </row>
    <row r="318" ht="22.5" customHeight="1">
      <c r="A318" s="30"/>
      <c r="B318" s="31"/>
      <c r="C318" s="31"/>
      <c r="D318" s="32"/>
      <c r="E318" s="15">
        <f t="shared" si="1"/>
        <v>0</v>
      </c>
    </row>
    <row r="319" ht="22.5" customHeight="1">
      <c r="A319" s="30"/>
      <c r="B319" s="31"/>
      <c r="C319" s="31"/>
      <c r="D319" s="32"/>
      <c r="E319" s="15">
        <f t="shared" si="1"/>
        <v>0</v>
      </c>
    </row>
    <row r="320" ht="22.5" customHeight="1">
      <c r="A320" s="30"/>
      <c r="B320" s="31"/>
      <c r="C320" s="31"/>
      <c r="D320" s="32"/>
      <c r="E320" s="15">
        <f t="shared" si="1"/>
        <v>0</v>
      </c>
    </row>
    <row r="321" ht="22.5" customHeight="1">
      <c r="A321" s="30"/>
      <c r="B321" s="31"/>
      <c r="C321" s="31"/>
      <c r="D321" s="32"/>
      <c r="E321" s="15">
        <f t="shared" si="1"/>
        <v>0</v>
      </c>
    </row>
    <row r="322" ht="22.5" customHeight="1">
      <c r="A322" s="30"/>
      <c r="B322" s="31"/>
      <c r="C322" s="31"/>
      <c r="D322" s="32"/>
      <c r="E322" s="15">
        <f t="shared" si="1"/>
        <v>0</v>
      </c>
    </row>
    <row r="323" ht="22.5" customHeight="1">
      <c r="A323" s="30"/>
      <c r="B323" s="31"/>
      <c r="C323" s="31"/>
      <c r="D323" s="32"/>
      <c r="E323" s="15">
        <f t="shared" si="1"/>
        <v>0</v>
      </c>
    </row>
    <row r="324" ht="22.5" customHeight="1">
      <c r="A324" s="30"/>
      <c r="B324" s="31"/>
      <c r="C324" s="31"/>
      <c r="D324" s="32"/>
      <c r="E324" s="15">
        <f t="shared" si="1"/>
        <v>0</v>
      </c>
    </row>
    <row r="325" ht="22.5" customHeight="1">
      <c r="A325" s="30"/>
      <c r="B325" s="31"/>
      <c r="C325" s="31"/>
      <c r="D325" s="32"/>
      <c r="E325" s="15">
        <f t="shared" si="1"/>
        <v>0</v>
      </c>
    </row>
    <row r="326" ht="22.5" customHeight="1">
      <c r="A326" s="30"/>
      <c r="B326" s="31"/>
      <c r="C326" s="31"/>
      <c r="D326" s="32"/>
      <c r="E326" s="15">
        <f t="shared" si="1"/>
        <v>0</v>
      </c>
    </row>
    <row r="327" ht="22.5" customHeight="1">
      <c r="A327" s="30"/>
      <c r="B327" s="31"/>
      <c r="C327" s="31"/>
      <c r="D327" s="32"/>
      <c r="E327" s="15">
        <f t="shared" si="1"/>
        <v>0</v>
      </c>
    </row>
    <row r="328" ht="22.5" customHeight="1">
      <c r="A328" s="30"/>
      <c r="B328" s="31"/>
      <c r="C328" s="31"/>
      <c r="D328" s="32"/>
      <c r="E328" s="15">
        <f t="shared" si="1"/>
        <v>0</v>
      </c>
    </row>
    <row r="329" ht="22.5" customHeight="1">
      <c r="A329" s="30"/>
      <c r="B329" s="31"/>
      <c r="C329" s="31"/>
      <c r="D329" s="32"/>
      <c r="E329" s="15">
        <f t="shared" si="1"/>
        <v>0</v>
      </c>
    </row>
    <row r="330" ht="22.5" customHeight="1">
      <c r="A330" s="30"/>
      <c r="B330" s="31"/>
      <c r="C330" s="31"/>
      <c r="D330" s="32"/>
      <c r="E330" s="15">
        <f t="shared" si="1"/>
        <v>0</v>
      </c>
    </row>
    <row r="331" ht="22.5" customHeight="1">
      <c r="A331" s="30"/>
      <c r="B331" s="31"/>
      <c r="C331" s="31"/>
      <c r="D331" s="32"/>
      <c r="E331" s="15">
        <f t="shared" si="1"/>
        <v>0</v>
      </c>
    </row>
    <row r="332" ht="22.5" customHeight="1">
      <c r="A332" s="30"/>
      <c r="B332" s="31"/>
      <c r="C332" s="31"/>
      <c r="D332" s="32"/>
      <c r="E332" s="15">
        <f t="shared" si="1"/>
        <v>0</v>
      </c>
    </row>
    <row r="333" ht="22.5" customHeight="1">
      <c r="A333" s="30"/>
      <c r="B333" s="31"/>
      <c r="C333" s="31"/>
      <c r="D333" s="32"/>
      <c r="E333" s="15">
        <f t="shared" si="1"/>
        <v>0</v>
      </c>
    </row>
    <row r="334" ht="22.5" customHeight="1">
      <c r="A334" s="30"/>
      <c r="B334" s="31"/>
      <c r="C334" s="31"/>
      <c r="D334" s="32"/>
      <c r="E334" s="15">
        <f t="shared" si="1"/>
        <v>0</v>
      </c>
    </row>
    <row r="335" ht="22.5" customHeight="1">
      <c r="A335" s="30"/>
      <c r="B335" s="31"/>
      <c r="C335" s="31"/>
      <c r="D335" s="32"/>
      <c r="E335" s="15">
        <f t="shared" si="1"/>
        <v>0</v>
      </c>
    </row>
    <row r="336" ht="22.5" customHeight="1">
      <c r="A336" s="30"/>
      <c r="B336" s="31"/>
      <c r="C336" s="31"/>
      <c r="D336" s="32"/>
      <c r="E336" s="15">
        <f t="shared" si="1"/>
        <v>0</v>
      </c>
    </row>
    <row r="337" ht="22.5" customHeight="1">
      <c r="A337" s="30"/>
      <c r="B337" s="31"/>
      <c r="C337" s="31"/>
      <c r="D337" s="32"/>
      <c r="E337" s="15">
        <f t="shared" si="1"/>
        <v>0</v>
      </c>
    </row>
    <row r="338" ht="22.5" customHeight="1">
      <c r="A338" s="30"/>
      <c r="B338" s="31"/>
      <c r="C338" s="31"/>
      <c r="D338" s="32"/>
      <c r="E338" s="15">
        <f t="shared" si="1"/>
        <v>0</v>
      </c>
    </row>
    <row r="339" ht="22.5" customHeight="1">
      <c r="A339" s="30"/>
      <c r="B339" s="31"/>
      <c r="C339" s="31"/>
      <c r="D339" s="32"/>
      <c r="E339" s="15">
        <f t="shared" si="1"/>
        <v>0</v>
      </c>
    </row>
    <row r="340" ht="22.5" customHeight="1">
      <c r="A340" s="30"/>
      <c r="B340" s="31"/>
      <c r="C340" s="31"/>
      <c r="D340" s="32"/>
      <c r="E340" s="15">
        <f t="shared" si="1"/>
        <v>0</v>
      </c>
    </row>
    <row r="341" ht="22.5" customHeight="1">
      <c r="A341" s="30"/>
      <c r="B341" s="31"/>
      <c r="C341" s="31"/>
      <c r="D341" s="32"/>
      <c r="E341" s="15">
        <f t="shared" si="1"/>
        <v>0</v>
      </c>
    </row>
    <row r="342" ht="22.5" customHeight="1">
      <c r="A342" s="30"/>
      <c r="B342" s="31"/>
      <c r="C342" s="31"/>
      <c r="D342" s="32"/>
      <c r="E342" s="15">
        <f t="shared" si="1"/>
        <v>0</v>
      </c>
    </row>
    <row r="343" ht="22.5" customHeight="1">
      <c r="A343" s="30"/>
      <c r="B343" s="31"/>
      <c r="C343" s="31"/>
      <c r="D343" s="32"/>
      <c r="E343" s="15">
        <f t="shared" si="1"/>
        <v>0</v>
      </c>
    </row>
    <row r="344" ht="22.5" customHeight="1">
      <c r="A344" s="30"/>
      <c r="B344" s="31"/>
      <c r="C344" s="31"/>
      <c r="D344" s="32"/>
      <c r="E344" s="15">
        <f t="shared" si="1"/>
        <v>0</v>
      </c>
    </row>
    <row r="345" ht="22.5" customHeight="1">
      <c r="A345" s="30"/>
      <c r="B345" s="31"/>
      <c r="C345" s="31"/>
      <c r="D345" s="32"/>
      <c r="E345" s="15">
        <f t="shared" si="1"/>
        <v>0</v>
      </c>
    </row>
    <row r="346" ht="22.5" customHeight="1">
      <c r="A346" s="30"/>
      <c r="B346" s="31"/>
      <c r="C346" s="31"/>
      <c r="D346" s="32"/>
      <c r="E346" s="15">
        <f t="shared" si="1"/>
        <v>0</v>
      </c>
    </row>
    <row r="347" ht="22.5" customHeight="1">
      <c r="A347" s="30"/>
      <c r="B347" s="31"/>
      <c r="C347" s="31"/>
      <c r="D347" s="32"/>
      <c r="E347" s="15">
        <f t="shared" si="1"/>
        <v>0</v>
      </c>
    </row>
    <row r="348" ht="22.5" customHeight="1">
      <c r="A348" s="30"/>
      <c r="B348" s="31"/>
      <c r="C348" s="31"/>
      <c r="D348" s="32"/>
      <c r="E348" s="15">
        <f t="shared" si="1"/>
        <v>0</v>
      </c>
    </row>
    <row r="349" ht="22.5" customHeight="1">
      <c r="A349" s="30"/>
      <c r="B349" s="31"/>
      <c r="C349" s="31"/>
      <c r="D349" s="32"/>
      <c r="E349" s="15">
        <f t="shared" si="1"/>
        <v>0</v>
      </c>
    </row>
    <row r="350" ht="22.5" customHeight="1">
      <c r="A350" s="30"/>
      <c r="B350" s="31"/>
      <c r="C350" s="31"/>
      <c r="D350" s="32"/>
      <c r="E350" s="15">
        <f t="shared" si="1"/>
        <v>0</v>
      </c>
    </row>
    <row r="351" ht="22.5" customHeight="1">
      <c r="A351" s="30"/>
      <c r="B351" s="31"/>
      <c r="C351" s="31"/>
      <c r="D351" s="32"/>
      <c r="E351" s="15">
        <f t="shared" si="1"/>
        <v>0</v>
      </c>
    </row>
    <row r="352" ht="22.5" customHeight="1">
      <c r="A352" s="30"/>
      <c r="B352" s="31"/>
      <c r="C352" s="31"/>
      <c r="D352" s="32"/>
      <c r="E352" s="15">
        <f t="shared" si="1"/>
        <v>0</v>
      </c>
    </row>
    <row r="353" ht="22.5" customHeight="1">
      <c r="A353" s="30"/>
      <c r="B353" s="31"/>
      <c r="C353" s="31"/>
      <c r="D353" s="32"/>
      <c r="E353" s="15">
        <f t="shared" si="1"/>
        <v>0</v>
      </c>
    </row>
    <row r="354" ht="22.5" customHeight="1">
      <c r="A354" s="30"/>
      <c r="B354" s="31"/>
      <c r="C354" s="31"/>
      <c r="D354" s="32"/>
      <c r="E354" s="15">
        <f t="shared" si="1"/>
        <v>0</v>
      </c>
    </row>
    <row r="355" ht="22.5" customHeight="1">
      <c r="A355" s="30"/>
      <c r="B355" s="31"/>
      <c r="C355" s="31"/>
      <c r="D355" s="32"/>
      <c r="E355" s="15">
        <f t="shared" si="1"/>
        <v>0</v>
      </c>
    </row>
    <row r="356" ht="22.5" customHeight="1">
      <c r="A356" s="30"/>
      <c r="B356" s="31"/>
      <c r="C356" s="31"/>
      <c r="D356" s="32"/>
      <c r="E356" s="15">
        <f t="shared" si="1"/>
        <v>0</v>
      </c>
    </row>
    <row r="357" ht="22.5" customHeight="1">
      <c r="A357" s="30"/>
      <c r="B357" s="31"/>
      <c r="C357" s="31"/>
      <c r="D357" s="32"/>
      <c r="E357" s="15">
        <f t="shared" si="1"/>
        <v>0</v>
      </c>
    </row>
    <row r="358" ht="22.5" customHeight="1">
      <c r="A358" s="30"/>
      <c r="B358" s="31"/>
      <c r="C358" s="31"/>
      <c r="D358" s="32"/>
      <c r="E358" s="15">
        <f t="shared" si="1"/>
        <v>0</v>
      </c>
    </row>
    <row r="359" ht="22.5" customHeight="1">
      <c r="A359" s="30"/>
      <c r="B359" s="31"/>
      <c r="C359" s="31"/>
      <c r="D359" s="32"/>
      <c r="E359" s="15">
        <f t="shared" si="1"/>
        <v>0</v>
      </c>
    </row>
    <row r="360" ht="22.5" customHeight="1">
      <c r="A360" s="30"/>
      <c r="B360" s="31"/>
      <c r="C360" s="31"/>
      <c r="D360" s="32"/>
      <c r="E360" s="15">
        <f t="shared" si="1"/>
        <v>0</v>
      </c>
    </row>
    <row r="361" ht="22.5" customHeight="1">
      <c r="A361" s="30"/>
      <c r="B361" s="31"/>
      <c r="C361" s="31"/>
      <c r="D361" s="32"/>
      <c r="E361" s="15">
        <f t="shared" si="1"/>
        <v>0</v>
      </c>
    </row>
    <row r="362" ht="22.5" customHeight="1">
      <c r="A362" s="30"/>
      <c r="B362" s="31"/>
      <c r="C362" s="31"/>
      <c r="D362" s="32"/>
      <c r="E362" s="15">
        <f t="shared" si="1"/>
        <v>0</v>
      </c>
    </row>
    <row r="363" ht="22.5" customHeight="1">
      <c r="A363" s="30"/>
      <c r="B363" s="31"/>
      <c r="C363" s="31"/>
      <c r="D363" s="32"/>
      <c r="E363" s="15">
        <f t="shared" si="1"/>
        <v>0</v>
      </c>
    </row>
    <row r="364" ht="22.5" customHeight="1">
      <c r="A364" s="30"/>
      <c r="B364" s="31"/>
      <c r="C364" s="31"/>
      <c r="D364" s="32"/>
      <c r="E364" s="15">
        <f t="shared" si="1"/>
        <v>0</v>
      </c>
    </row>
    <row r="365" ht="22.5" customHeight="1">
      <c r="A365" s="30"/>
      <c r="B365" s="31"/>
      <c r="C365" s="31"/>
      <c r="D365" s="32"/>
      <c r="E365" s="15">
        <f t="shared" si="1"/>
        <v>0</v>
      </c>
    </row>
    <row r="366" ht="22.5" customHeight="1">
      <c r="A366" s="30"/>
      <c r="B366" s="31"/>
      <c r="C366" s="31"/>
      <c r="D366" s="32"/>
      <c r="E366" s="15">
        <f t="shared" si="1"/>
        <v>0</v>
      </c>
    </row>
    <row r="367" ht="22.5" customHeight="1">
      <c r="A367" s="30"/>
      <c r="B367" s="31"/>
      <c r="C367" s="31"/>
      <c r="D367" s="32"/>
      <c r="E367" s="15">
        <f t="shared" si="1"/>
        <v>0</v>
      </c>
    </row>
    <row r="368" ht="22.5" customHeight="1">
      <c r="A368" s="30"/>
      <c r="B368" s="31"/>
      <c r="C368" s="31"/>
      <c r="D368" s="32"/>
      <c r="E368" s="15">
        <f t="shared" si="1"/>
        <v>0</v>
      </c>
    </row>
    <row r="369" ht="22.5" customHeight="1">
      <c r="A369" s="30"/>
      <c r="B369" s="31"/>
      <c r="C369" s="31"/>
      <c r="D369" s="32"/>
      <c r="E369" s="15">
        <f t="shared" si="1"/>
        <v>0</v>
      </c>
    </row>
    <row r="370" ht="22.5" customHeight="1">
      <c r="A370" s="30"/>
      <c r="B370" s="31"/>
      <c r="C370" s="31"/>
      <c r="D370" s="32"/>
      <c r="E370" s="15">
        <f t="shared" si="1"/>
        <v>0</v>
      </c>
    </row>
    <row r="371" ht="22.5" customHeight="1">
      <c r="A371" s="30"/>
      <c r="B371" s="31"/>
      <c r="C371" s="31"/>
      <c r="D371" s="32"/>
      <c r="E371" s="15">
        <f t="shared" si="1"/>
        <v>0</v>
      </c>
    </row>
    <row r="372" ht="22.5" customHeight="1">
      <c r="A372" s="30"/>
      <c r="B372" s="31"/>
      <c r="C372" s="31"/>
      <c r="D372" s="32"/>
      <c r="E372" s="15">
        <f t="shared" si="1"/>
        <v>0</v>
      </c>
    </row>
    <row r="373" ht="22.5" customHeight="1">
      <c r="A373" s="30"/>
      <c r="B373" s="31"/>
      <c r="C373" s="31"/>
      <c r="D373" s="32"/>
      <c r="E373" s="15">
        <f t="shared" si="1"/>
        <v>0</v>
      </c>
    </row>
    <row r="374" ht="22.5" customHeight="1">
      <c r="A374" s="30"/>
      <c r="B374" s="31"/>
      <c r="C374" s="31"/>
      <c r="D374" s="32"/>
      <c r="E374" s="15">
        <f t="shared" si="1"/>
        <v>0</v>
      </c>
    </row>
    <row r="375" ht="22.5" customHeight="1">
      <c r="A375" s="30"/>
      <c r="B375" s="31"/>
      <c r="C375" s="31"/>
      <c r="D375" s="32"/>
      <c r="E375" s="15">
        <f t="shared" si="1"/>
        <v>0</v>
      </c>
    </row>
    <row r="376" ht="22.5" customHeight="1">
      <c r="A376" s="30"/>
      <c r="B376" s="31"/>
      <c r="C376" s="31"/>
      <c r="D376" s="32"/>
      <c r="E376" s="15">
        <f t="shared" si="1"/>
        <v>0</v>
      </c>
    </row>
    <row r="377" ht="22.5" customHeight="1">
      <c r="A377" s="30"/>
      <c r="B377" s="31"/>
      <c r="C377" s="31"/>
      <c r="D377" s="32"/>
      <c r="E377" s="15">
        <f t="shared" si="1"/>
        <v>0</v>
      </c>
    </row>
    <row r="378" ht="22.5" customHeight="1">
      <c r="A378" s="30"/>
      <c r="B378" s="31"/>
      <c r="C378" s="31"/>
      <c r="D378" s="32"/>
      <c r="E378" s="15">
        <f t="shared" si="1"/>
        <v>0</v>
      </c>
    </row>
    <row r="379" ht="22.5" customHeight="1">
      <c r="A379" s="30"/>
      <c r="B379" s="31"/>
      <c r="C379" s="31"/>
      <c r="D379" s="32"/>
      <c r="E379" s="15">
        <f t="shared" si="1"/>
        <v>0</v>
      </c>
    </row>
    <row r="380" ht="22.5" customHeight="1">
      <c r="A380" s="30"/>
      <c r="B380" s="31"/>
      <c r="C380" s="31"/>
      <c r="D380" s="32"/>
      <c r="E380" s="15">
        <f t="shared" si="1"/>
        <v>0</v>
      </c>
    </row>
    <row r="381" ht="22.5" customHeight="1">
      <c r="A381" s="30"/>
      <c r="B381" s="31"/>
      <c r="C381" s="31"/>
      <c r="D381" s="32"/>
      <c r="E381" s="15">
        <f t="shared" si="1"/>
        <v>0</v>
      </c>
    </row>
    <row r="382" ht="22.5" customHeight="1">
      <c r="A382" s="30"/>
      <c r="B382" s="31"/>
      <c r="C382" s="31"/>
      <c r="D382" s="32"/>
      <c r="E382" s="15">
        <f t="shared" si="1"/>
        <v>0</v>
      </c>
    </row>
    <row r="383" ht="22.5" customHeight="1">
      <c r="A383" s="30"/>
      <c r="B383" s="31"/>
      <c r="C383" s="31"/>
      <c r="D383" s="32"/>
      <c r="E383" s="15">
        <f t="shared" si="1"/>
        <v>0</v>
      </c>
    </row>
    <row r="384" ht="22.5" customHeight="1">
      <c r="A384" s="30"/>
      <c r="B384" s="31"/>
      <c r="C384" s="31"/>
      <c r="D384" s="32"/>
      <c r="E384" s="15">
        <f t="shared" si="1"/>
        <v>0</v>
      </c>
    </row>
    <row r="385" ht="22.5" customHeight="1">
      <c r="A385" s="30"/>
      <c r="B385" s="31"/>
      <c r="C385" s="31"/>
      <c r="D385" s="32"/>
      <c r="E385" s="15">
        <f t="shared" si="1"/>
        <v>0</v>
      </c>
    </row>
    <row r="386" ht="22.5" customHeight="1">
      <c r="A386" s="30"/>
      <c r="B386" s="31"/>
      <c r="C386" s="31"/>
      <c r="D386" s="32"/>
      <c r="E386" s="15">
        <f t="shared" si="1"/>
        <v>0</v>
      </c>
    </row>
    <row r="387" ht="22.5" customHeight="1">
      <c r="A387" s="30"/>
      <c r="B387" s="31"/>
      <c r="C387" s="31"/>
      <c r="D387" s="32"/>
      <c r="E387" s="15">
        <f t="shared" si="1"/>
        <v>0</v>
      </c>
    </row>
    <row r="388" ht="22.5" customHeight="1">
      <c r="A388" s="30"/>
      <c r="B388" s="31"/>
      <c r="C388" s="31"/>
      <c r="D388" s="32"/>
      <c r="E388" s="15">
        <f t="shared" si="1"/>
        <v>0</v>
      </c>
    </row>
    <row r="389" ht="22.5" customHeight="1">
      <c r="A389" s="30"/>
      <c r="B389" s="31"/>
      <c r="C389" s="31"/>
      <c r="D389" s="32"/>
      <c r="E389" s="15">
        <f t="shared" si="1"/>
        <v>0</v>
      </c>
    </row>
    <row r="390" ht="22.5" customHeight="1">
      <c r="A390" s="30"/>
      <c r="B390" s="31"/>
      <c r="C390" s="31"/>
      <c r="D390" s="32"/>
      <c r="E390" s="15">
        <f t="shared" si="1"/>
        <v>0</v>
      </c>
    </row>
    <row r="391" ht="22.5" customHeight="1">
      <c r="A391" s="30"/>
      <c r="B391" s="31"/>
      <c r="C391" s="31"/>
      <c r="D391" s="32"/>
      <c r="E391" s="15">
        <f t="shared" si="1"/>
        <v>0</v>
      </c>
    </row>
    <row r="392" ht="22.5" customHeight="1">
      <c r="A392" s="30"/>
      <c r="B392" s="31"/>
      <c r="C392" s="31"/>
      <c r="D392" s="32"/>
      <c r="E392" s="15">
        <f t="shared" si="1"/>
        <v>0</v>
      </c>
    </row>
    <row r="393" ht="22.5" customHeight="1">
      <c r="A393" s="30"/>
      <c r="B393" s="31"/>
      <c r="C393" s="31"/>
      <c r="D393" s="32"/>
      <c r="E393" s="15">
        <f t="shared" si="1"/>
        <v>0</v>
      </c>
    </row>
    <row r="394" ht="22.5" customHeight="1">
      <c r="A394" s="30"/>
      <c r="B394" s="31"/>
      <c r="C394" s="31"/>
      <c r="D394" s="32"/>
      <c r="E394" s="15">
        <f t="shared" si="1"/>
        <v>0</v>
      </c>
    </row>
    <row r="395" ht="22.5" customHeight="1">
      <c r="A395" s="30"/>
      <c r="B395" s="31"/>
      <c r="C395" s="31"/>
      <c r="D395" s="32"/>
      <c r="E395" s="15">
        <f t="shared" si="1"/>
        <v>0</v>
      </c>
    </row>
    <row r="396" ht="22.5" customHeight="1">
      <c r="A396" s="30"/>
      <c r="B396" s="31"/>
      <c r="C396" s="31"/>
      <c r="D396" s="32"/>
      <c r="E396" s="15">
        <f t="shared" si="1"/>
        <v>0</v>
      </c>
    </row>
    <row r="397" ht="22.5" customHeight="1">
      <c r="A397" s="30"/>
      <c r="B397" s="31"/>
      <c r="C397" s="31"/>
      <c r="D397" s="32"/>
      <c r="E397" s="15">
        <f t="shared" si="1"/>
        <v>0</v>
      </c>
    </row>
    <row r="398" ht="22.5" customHeight="1">
      <c r="A398" s="30"/>
      <c r="B398" s="31"/>
      <c r="C398" s="31"/>
      <c r="D398" s="32"/>
      <c r="E398" s="15">
        <f t="shared" si="1"/>
        <v>0</v>
      </c>
    </row>
    <row r="399" ht="22.5" customHeight="1">
      <c r="A399" s="30"/>
      <c r="B399" s="31"/>
      <c r="C399" s="31"/>
      <c r="D399" s="32"/>
      <c r="E399" s="15">
        <f t="shared" si="1"/>
        <v>0</v>
      </c>
    </row>
    <row r="400" ht="22.5" customHeight="1">
      <c r="A400" s="30"/>
      <c r="B400" s="31"/>
      <c r="C400" s="31"/>
      <c r="D400" s="32"/>
      <c r="E400" s="15">
        <f t="shared" si="1"/>
        <v>0</v>
      </c>
    </row>
    <row r="401" ht="22.5" customHeight="1">
      <c r="A401" s="30"/>
      <c r="B401" s="31"/>
      <c r="C401" s="31"/>
      <c r="D401" s="32"/>
      <c r="E401" s="15">
        <f t="shared" si="1"/>
        <v>0</v>
      </c>
    </row>
    <row r="402" ht="22.5" customHeight="1">
      <c r="A402" s="30"/>
      <c r="B402" s="31"/>
      <c r="C402" s="31"/>
      <c r="D402" s="32"/>
      <c r="E402" s="15">
        <f t="shared" si="1"/>
        <v>0</v>
      </c>
    </row>
    <row r="403" ht="22.5" customHeight="1">
      <c r="A403" s="30"/>
      <c r="B403" s="31"/>
      <c r="C403" s="31"/>
      <c r="D403" s="32"/>
      <c r="E403" s="15">
        <f t="shared" si="1"/>
        <v>0</v>
      </c>
    </row>
    <row r="404" ht="22.5" customHeight="1">
      <c r="A404" s="30"/>
      <c r="B404" s="31"/>
      <c r="C404" s="31"/>
      <c r="D404" s="32"/>
      <c r="E404" s="15">
        <f t="shared" si="1"/>
        <v>0</v>
      </c>
    </row>
    <row r="405" ht="22.5" customHeight="1">
      <c r="A405" s="30"/>
      <c r="B405" s="31"/>
      <c r="C405" s="31"/>
      <c r="D405" s="32"/>
      <c r="E405" s="15">
        <f t="shared" si="1"/>
        <v>0</v>
      </c>
    </row>
    <row r="406" ht="22.5" customHeight="1">
      <c r="A406" s="30"/>
      <c r="B406" s="31"/>
      <c r="C406" s="31"/>
      <c r="D406" s="32"/>
      <c r="E406" s="15">
        <f t="shared" si="1"/>
        <v>0</v>
      </c>
    </row>
    <row r="407" ht="22.5" customHeight="1">
      <c r="A407" s="30"/>
      <c r="B407" s="31"/>
      <c r="C407" s="31"/>
      <c r="D407" s="32"/>
      <c r="E407" s="15">
        <f t="shared" si="1"/>
        <v>0</v>
      </c>
    </row>
    <row r="408" ht="22.5" customHeight="1">
      <c r="A408" s="30"/>
      <c r="B408" s="31"/>
      <c r="C408" s="31"/>
      <c r="D408" s="32"/>
      <c r="E408" s="15">
        <f t="shared" si="1"/>
        <v>0</v>
      </c>
    </row>
    <row r="409" ht="22.5" customHeight="1">
      <c r="A409" s="30"/>
      <c r="B409" s="31"/>
      <c r="C409" s="31"/>
      <c r="D409" s="32"/>
      <c r="E409" s="15">
        <f t="shared" si="1"/>
        <v>0</v>
      </c>
    </row>
    <row r="410" ht="22.5" customHeight="1">
      <c r="A410" s="30"/>
      <c r="B410" s="31"/>
      <c r="C410" s="31"/>
      <c r="D410" s="32"/>
      <c r="E410" s="15">
        <f t="shared" si="1"/>
        <v>0</v>
      </c>
    </row>
    <row r="411" ht="22.5" customHeight="1">
      <c r="A411" s="30"/>
      <c r="B411" s="31"/>
      <c r="C411" s="31"/>
      <c r="D411" s="32"/>
      <c r="E411" s="15">
        <f t="shared" si="1"/>
        <v>0</v>
      </c>
    </row>
    <row r="412" ht="22.5" customHeight="1">
      <c r="A412" s="30"/>
      <c r="B412" s="31"/>
      <c r="C412" s="31"/>
      <c r="D412" s="32"/>
      <c r="E412" s="15">
        <f t="shared" si="1"/>
        <v>0</v>
      </c>
    </row>
    <row r="413" ht="22.5" customHeight="1">
      <c r="A413" s="30"/>
      <c r="B413" s="31"/>
      <c r="C413" s="31"/>
      <c r="D413" s="32"/>
      <c r="E413" s="15">
        <f t="shared" si="1"/>
        <v>0</v>
      </c>
    </row>
    <row r="414" ht="22.5" customHeight="1">
      <c r="A414" s="30"/>
      <c r="B414" s="31"/>
      <c r="C414" s="31"/>
      <c r="D414" s="32"/>
      <c r="E414" s="15">
        <f t="shared" si="1"/>
        <v>0</v>
      </c>
    </row>
    <row r="415" ht="22.5" customHeight="1">
      <c r="A415" s="30"/>
      <c r="B415" s="31"/>
      <c r="C415" s="31"/>
      <c r="D415" s="32"/>
      <c r="E415" s="15">
        <f t="shared" si="1"/>
        <v>0</v>
      </c>
    </row>
    <row r="416" ht="22.5" customHeight="1">
      <c r="A416" s="30"/>
      <c r="B416" s="31"/>
      <c r="C416" s="31"/>
      <c r="D416" s="32"/>
      <c r="E416" s="15">
        <f t="shared" si="1"/>
        <v>0</v>
      </c>
    </row>
    <row r="417" ht="22.5" customHeight="1">
      <c r="A417" s="30"/>
      <c r="B417" s="31"/>
      <c r="C417" s="31"/>
      <c r="D417" s="32"/>
      <c r="E417" s="15">
        <f t="shared" si="1"/>
        <v>0</v>
      </c>
    </row>
    <row r="418" ht="22.5" customHeight="1">
      <c r="A418" s="30"/>
      <c r="B418" s="31"/>
      <c r="C418" s="31"/>
      <c r="D418" s="32"/>
      <c r="E418" s="15">
        <f t="shared" si="1"/>
        <v>0</v>
      </c>
    </row>
    <row r="419" ht="22.5" customHeight="1">
      <c r="A419" s="30"/>
      <c r="B419" s="31"/>
      <c r="C419" s="31"/>
      <c r="D419" s="32"/>
      <c r="E419" s="15">
        <f t="shared" si="1"/>
        <v>0</v>
      </c>
    </row>
    <row r="420" ht="22.5" customHeight="1">
      <c r="A420" s="30"/>
      <c r="B420" s="31"/>
      <c r="C420" s="31"/>
      <c r="D420" s="32"/>
      <c r="E420" s="15">
        <f t="shared" si="1"/>
        <v>0</v>
      </c>
    </row>
    <row r="421" ht="22.5" customHeight="1">
      <c r="A421" s="30"/>
      <c r="B421" s="31"/>
      <c r="C421" s="31"/>
      <c r="D421" s="32"/>
      <c r="E421" s="15">
        <f t="shared" si="1"/>
        <v>0</v>
      </c>
    </row>
    <row r="422" ht="22.5" customHeight="1">
      <c r="A422" s="30"/>
      <c r="B422" s="31"/>
      <c r="C422" s="31"/>
      <c r="D422" s="32"/>
      <c r="E422" s="15">
        <f t="shared" si="1"/>
        <v>0</v>
      </c>
    </row>
    <row r="423" ht="22.5" customHeight="1">
      <c r="A423" s="30"/>
      <c r="B423" s="31"/>
      <c r="C423" s="31"/>
      <c r="D423" s="32"/>
      <c r="E423" s="15">
        <f t="shared" si="1"/>
        <v>0</v>
      </c>
    </row>
    <row r="424" ht="22.5" customHeight="1">
      <c r="A424" s="30"/>
      <c r="B424" s="31"/>
      <c r="C424" s="31"/>
      <c r="D424" s="32"/>
      <c r="E424" s="15">
        <f t="shared" si="1"/>
        <v>0</v>
      </c>
    </row>
    <row r="425" ht="22.5" customHeight="1">
      <c r="A425" s="30"/>
      <c r="B425" s="31"/>
      <c r="C425" s="31"/>
      <c r="D425" s="32"/>
      <c r="E425" s="15">
        <f t="shared" si="1"/>
        <v>0</v>
      </c>
    </row>
    <row r="426" ht="22.5" customHeight="1">
      <c r="A426" s="30"/>
      <c r="B426" s="31"/>
      <c r="C426" s="31"/>
      <c r="D426" s="32"/>
      <c r="E426" s="15">
        <f t="shared" si="1"/>
        <v>0</v>
      </c>
    </row>
    <row r="427" ht="22.5" customHeight="1">
      <c r="A427" s="30"/>
      <c r="B427" s="31"/>
      <c r="C427" s="31"/>
      <c r="D427" s="32"/>
      <c r="E427" s="15">
        <f t="shared" si="1"/>
        <v>0</v>
      </c>
    </row>
    <row r="428" ht="22.5" customHeight="1">
      <c r="A428" s="30"/>
      <c r="B428" s="31"/>
      <c r="C428" s="31"/>
      <c r="D428" s="32"/>
      <c r="E428" s="15">
        <f t="shared" si="1"/>
        <v>0</v>
      </c>
    </row>
    <row r="429" ht="22.5" customHeight="1">
      <c r="A429" s="30"/>
      <c r="B429" s="31"/>
      <c r="C429" s="31"/>
      <c r="D429" s="32"/>
      <c r="E429" s="15">
        <f t="shared" si="1"/>
        <v>0</v>
      </c>
    </row>
    <row r="430" ht="22.5" customHeight="1">
      <c r="A430" s="30"/>
      <c r="B430" s="31"/>
      <c r="C430" s="31"/>
      <c r="D430" s="32"/>
      <c r="E430" s="15">
        <f t="shared" si="1"/>
        <v>0</v>
      </c>
    </row>
    <row r="431" ht="22.5" customHeight="1">
      <c r="A431" s="30"/>
      <c r="B431" s="31"/>
      <c r="C431" s="31"/>
      <c r="D431" s="32"/>
      <c r="E431" s="15">
        <f t="shared" si="1"/>
        <v>0</v>
      </c>
    </row>
    <row r="432" ht="22.5" customHeight="1">
      <c r="A432" s="30"/>
      <c r="B432" s="31"/>
      <c r="C432" s="31"/>
      <c r="D432" s="32"/>
      <c r="E432" s="15">
        <f t="shared" si="1"/>
        <v>0</v>
      </c>
    </row>
    <row r="433" ht="22.5" customHeight="1">
      <c r="A433" s="30"/>
      <c r="B433" s="31"/>
      <c r="C433" s="31"/>
      <c r="D433" s="32"/>
      <c r="E433" s="15">
        <f t="shared" si="1"/>
        <v>0</v>
      </c>
    </row>
    <row r="434" ht="22.5" customHeight="1">
      <c r="A434" s="30"/>
      <c r="B434" s="31"/>
      <c r="C434" s="31"/>
      <c r="D434" s="32"/>
      <c r="E434" s="15">
        <f t="shared" si="1"/>
        <v>0</v>
      </c>
    </row>
    <row r="435" ht="22.5" customHeight="1">
      <c r="A435" s="30"/>
      <c r="B435" s="31"/>
      <c r="C435" s="31"/>
      <c r="D435" s="32"/>
      <c r="E435" s="15">
        <f t="shared" si="1"/>
        <v>0</v>
      </c>
    </row>
    <row r="436" ht="22.5" customHeight="1">
      <c r="A436" s="30"/>
      <c r="B436" s="31"/>
      <c r="C436" s="31"/>
      <c r="D436" s="32"/>
      <c r="E436" s="15">
        <f t="shared" si="1"/>
        <v>0</v>
      </c>
    </row>
    <row r="437" ht="22.5" customHeight="1">
      <c r="A437" s="30"/>
      <c r="B437" s="31"/>
      <c r="C437" s="31"/>
      <c r="D437" s="32"/>
      <c r="E437" s="15">
        <f t="shared" si="1"/>
        <v>0</v>
      </c>
    </row>
    <row r="438" ht="22.5" customHeight="1">
      <c r="A438" s="30"/>
      <c r="B438" s="31"/>
      <c r="C438" s="31"/>
      <c r="D438" s="32"/>
      <c r="E438" s="15">
        <f t="shared" si="1"/>
        <v>0</v>
      </c>
    </row>
    <row r="439" ht="22.5" customHeight="1">
      <c r="A439" s="30"/>
      <c r="B439" s="31"/>
      <c r="C439" s="31"/>
      <c r="D439" s="32"/>
      <c r="E439" s="15">
        <f t="shared" si="1"/>
        <v>0</v>
      </c>
    </row>
    <row r="440" ht="22.5" customHeight="1">
      <c r="A440" s="30"/>
      <c r="B440" s="31"/>
      <c r="C440" s="31"/>
      <c r="D440" s="32"/>
      <c r="E440" s="15">
        <f t="shared" si="1"/>
        <v>0</v>
      </c>
    </row>
    <row r="441" ht="22.5" customHeight="1">
      <c r="A441" s="30"/>
      <c r="B441" s="31"/>
      <c r="C441" s="31"/>
      <c r="D441" s="32"/>
      <c r="E441" s="15">
        <f t="shared" si="1"/>
        <v>0</v>
      </c>
    </row>
    <row r="442" ht="22.5" customHeight="1">
      <c r="A442" s="30"/>
      <c r="B442" s="31"/>
      <c r="C442" s="31"/>
      <c r="D442" s="32"/>
      <c r="E442" s="15">
        <f t="shared" si="1"/>
        <v>0</v>
      </c>
    </row>
    <row r="443" ht="22.5" customHeight="1">
      <c r="A443" s="30"/>
      <c r="B443" s="31"/>
      <c r="C443" s="31"/>
      <c r="D443" s="32"/>
      <c r="E443" s="15">
        <f t="shared" si="1"/>
        <v>0</v>
      </c>
    </row>
    <row r="444" ht="22.5" customHeight="1">
      <c r="A444" s="30"/>
      <c r="B444" s="31"/>
      <c r="C444" s="31"/>
      <c r="D444" s="32"/>
      <c r="E444" s="15">
        <f t="shared" si="1"/>
        <v>0</v>
      </c>
    </row>
    <row r="445" ht="22.5" customHeight="1">
      <c r="A445" s="30"/>
      <c r="B445" s="31"/>
      <c r="C445" s="31"/>
      <c r="D445" s="32"/>
      <c r="E445" s="15">
        <f t="shared" si="1"/>
        <v>0</v>
      </c>
    </row>
    <row r="446" ht="22.5" customHeight="1">
      <c r="A446" s="30"/>
      <c r="B446" s="31"/>
      <c r="C446" s="31"/>
      <c r="D446" s="32"/>
      <c r="E446" s="15">
        <f t="shared" si="1"/>
        <v>0</v>
      </c>
    </row>
    <row r="447" ht="22.5" customHeight="1">
      <c r="A447" s="30"/>
      <c r="B447" s="31"/>
      <c r="C447" s="31"/>
      <c r="D447" s="32"/>
      <c r="E447" s="15">
        <f t="shared" si="1"/>
        <v>0</v>
      </c>
    </row>
    <row r="448" ht="22.5" customHeight="1">
      <c r="A448" s="30"/>
      <c r="B448" s="31"/>
      <c r="C448" s="31"/>
      <c r="D448" s="32"/>
      <c r="E448" s="15">
        <f t="shared" si="1"/>
        <v>0</v>
      </c>
    </row>
    <row r="449" ht="22.5" customHeight="1">
      <c r="A449" s="30"/>
      <c r="B449" s="31"/>
      <c r="C449" s="31"/>
      <c r="D449" s="32"/>
      <c r="E449" s="15">
        <f t="shared" si="1"/>
        <v>0</v>
      </c>
    </row>
    <row r="450" ht="22.5" customHeight="1">
      <c r="A450" s="30"/>
      <c r="B450" s="31"/>
      <c r="C450" s="31"/>
      <c r="D450" s="32"/>
      <c r="E450" s="15">
        <f t="shared" si="1"/>
        <v>0</v>
      </c>
    </row>
    <row r="451" ht="22.5" customHeight="1">
      <c r="A451" s="30"/>
      <c r="B451" s="31"/>
      <c r="C451" s="31"/>
      <c r="D451" s="32"/>
      <c r="E451" s="15">
        <f t="shared" si="1"/>
        <v>0</v>
      </c>
    </row>
    <row r="452" ht="22.5" customHeight="1">
      <c r="A452" s="30"/>
      <c r="B452" s="31"/>
      <c r="C452" s="31"/>
      <c r="D452" s="32"/>
      <c r="E452" s="15">
        <f t="shared" si="1"/>
        <v>0</v>
      </c>
    </row>
    <row r="453" ht="22.5" customHeight="1">
      <c r="A453" s="30"/>
      <c r="B453" s="31"/>
      <c r="C453" s="31"/>
      <c r="D453" s="32"/>
      <c r="E453" s="15">
        <f t="shared" si="1"/>
        <v>0</v>
      </c>
    </row>
    <row r="454" ht="22.5" customHeight="1">
      <c r="A454" s="30"/>
      <c r="B454" s="31"/>
      <c r="C454" s="31"/>
      <c r="D454" s="32"/>
      <c r="E454" s="15">
        <f t="shared" si="1"/>
        <v>0</v>
      </c>
    </row>
    <row r="455" ht="22.5" customHeight="1">
      <c r="A455" s="30"/>
      <c r="B455" s="31"/>
      <c r="C455" s="31"/>
      <c r="D455" s="32"/>
      <c r="E455" s="15">
        <f t="shared" si="1"/>
        <v>0</v>
      </c>
    </row>
    <row r="456" ht="22.5" customHeight="1">
      <c r="A456" s="30"/>
      <c r="B456" s="31"/>
      <c r="C456" s="31"/>
      <c r="D456" s="32"/>
      <c r="E456" s="15">
        <f t="shared" si="1"/>
        <v>0</v>
      </c>
    </row>
    <row r="457" ht="22.5" customHeight="1">
      <c r="A457" s="30"/>
      <c r="B457" s="31"/>
      <c r="C457" s="31"/>
      <c r="D457" s="32"/>
      <c r="E457" s="15">
        <f t="shared" si="1"/>
        <v>0</v>
      </c>
    </row>
    <row r="458" ht="22.5" customHeight="1">
      <c r="A458" s="30"/>
      <c r="B458" s="31"/>
      <c r="C458" s="31"/>
      <c r="D458" s="32"/>
      <c r="E458" s="15">
        <f t="shared" si="1"/>
        <v>0</v>
      </c>
    </row>
    <row r="459" ht="22.5" customHeight="1">
      <c r="A459" s="30"/>
      <c r="B459" s="31"/>
      <c r="C459" s="31"/>
      <c r="D459" s="32"/>
      <c r="E459" s="15">
        <f t="shared" si="1"/>
        <v>0</v>
      </c>
    </row>
    <row r="460" ht="22.5" customHeight="1">
      <c r="A460" s="30"/>
      <c r="B460" s="31"/>
      <c r="C460" s="31"/>
      <c r="D460" s="32"/>
      <c r="E460" s="15">
        <f t="shared" si="1"/>
        <v>0</v>
      </c>
    </row>
    <row r="461" ht="22.5" customHeight="1">
      <c r="A461" s="30"/>
      <c r="B461" s="31"/>
      <c r="C461" s="31"/>
      <c r="D461" s="32"/>
      <c r="E461" s="15">
        <f t="shared" si="1"/>
        <v>0</v>
      </c>
    </row>
    <row r="462" ht="22.5" customHeight="1">
      <c r="A462" s="30"/>
      <c r="B462" s="31"/>
      <c r="C462" s="31"/>
      <c r="D462" s="32"/>
      <c r="E462" s="15">
        <f t="shared" si="1"/>
        <v>0</v>
      </c>
    </row>
    <row r="463" ht="22.5" customHeight="1">
      <c r="A463" s="30"/>
      <c r="B463" s="31"/>
      <c r="C463" s="31"/>
      <c r="D463" s="32"/>
      <c r="E463" s="15">
        <f t="shared" si="1"/>
        <v>0</v>
      </c>
    </row>
    <row r="464" ht="22.5" customHeight="1">
      <c r="A464" s="30"/>
      <c r="B464" s="31"/>
      <c r="C464" s="31"/>
      <c r="D464" s="32"/>
      <c r="E464" s="15">
        <f t="shared" si="1"/>
        <v>0</v>
      </c>
    </row>
    <row r="465" ht="22.5" customHeight="1">
      <c r="A465" s="30"/>
      <c r="B465" s="31"/>
      <c r="C465" s="31"/>
      <c r="D465" s="32"/>
      <c r="E465" s="15">
        <f t="shared" si="1"/>
        <v>0</v>
      </c>
    </row>
    <row r="466" ht="22.5" customHeight="1">
      <c r="A466" s="30"/>
      <c r="B466" s="31"/>
      <c r="C466" s="31"/>
      <c r="D466" s="32"/>
      <c r="E466" s="15">
        <f t="shared" si="1"/>
        <v>0</v>
      </c>
    </row>
    <row r="467" ht="22.5" customHeight="1">
      <c r="A467" s="30"/>
      <c r="B467" s="31"/>
      <c r="C467" s="31"/>
      <c r="D467" s="32"/>
      <c r="E467" s="15">
        <f t="shared" si="1"/>
        <v>0</v>
      </c>
    </row>
    <row r="468" ht="22.5" customHeight="1">
      <c r="A468" s="30"/>
      <c r="B468" s="31"/>
      <c r="C468" s="31"/>
      <c r="D468" s="32"/>
      <c r="E468" s="15">
        <f t="shared" si="1"/>
        <v>0</v>
      </c>
    </row>
    <row r="469" ht="22.5" customHeight="1">
      <c r="A469" s="30"/>
      <c r="B469" s="31"/>
      <c r="C469" s="31"/>
      <c r="D469" s="32"/>
      <c r="E469" s="15">
        <f t="shared" si="1"/>
        <v>0</v>
      </c>
    </row>
    <row r="470" ht="22.5" customHeight="1">
      <c r="A470" s="30"/>
      <c r="B470" s="31"/>
      <c r="C470" s="31"/>
      <c r="D470" s="32"/>
      <c r="E470" s="15">
        <f t="shared" si="1"/>
        <v>0</v>
      </c>
    </row>
    <row r="471" ht="22.5" customHeight="1">
      <c r="A471" s="30"/>
      <c r="B471" s="31"/>
      <c r="C471" s="31"/>
      <c r="D471" s="32"/>
      <c r="E471" s="15">
        <f t="shared" si="1"/>
        <v>0</v>
      </c>
    </row>
    <row r="472" ht="22.5" customHeight="1">
      <c r="A472" s="30"/>
      <c r="B472" s="31"/>
      <c r="C472" s="31"/>
      <c r="D472" s="32"/>
      <c r="E472" s="15">
        <f t="shared" si="1"/>
        <v>0</v>
      </c>
    </row>
    <row r="473" ht="22.5" customHeight="1">
      <c r="A473" s="30"/>
      <c r="B473" s="31"/>
      <c r="C473" s="31"/>
      <c r="D473" s="32"/>
      <c r="E473" s="15">
        <f t="shared" si="1"/>
        <v>0</v>
      </c>
    </row>
    <row r="474" ht="22.5" customHeight="1">
      <c r="A474" s="30"/>
      <c r="B474" s="31"/>
      <c r="C474" s="31"/>
      <c r="D474" s="32"/>
      <c r="E474" s="15">
        <f t="shared" si="1"/>
        <v>0</v>
      </c>
    </row>
    <row r="475" ht="22.5" customHeight="1">
      <c r="A475" s="30"/>
      <c r="B475" s="31"/>
      <c r="C475" s="31"/>
      <c r="D475" s="32"/>
      <c r="E475" s="15">
        <f t="shared" si="1"/>
        <v>0</v>
      </c>
    </row>
    <row r="476" ht="22.5" customHeight="1">
      <c r="A476" s="30"/>
      <c r="B476" s="31"/>
      <c r="C476" s="31"/>
      <c r="D476" s="32"/>
      <c r="E476" s="15">
        <f t="shared" si="1"/>
        <v>0</v>
      </c>
    </row>
    <row r="477" ht="22.5" customHeight="1">
      <c r="A477" s="30"/>
      <c r="B477" s="31"/>
      <c r="C477" s="31"/>
      <c r="D477" s="32"/>
      <c r="E477" s="15">
        <f t="shared" si="1"/>
        <v>0</v>
      </c>
    </row>
    <row r="478" ht="22.5" customHeight="1">
      <c r="A478" s="30"/>
      <c r="B478" s="31"/>
      <c r="C478" s="31"/>
      <c r="D478" s="32"/>
      <c r="E478" s="15">
        <f t="shared" si="1"/>
        <v>0</v>
      </c>
    </row>
    <row r="479" ht="22.5" customHeight="1">
      <c r="A479" s="30"/>
      <c r="B479" s="31"/>
      <c r="C479" s="31"/>
      <c r="D479" s="32"/>
      <c r="E479" s="15">
        <f t="shared" si="1"/>
        <v>0</v>
      </c>
    </row>
    <row r="480" ht="22.5" customHeight="1">
      <c r="A480" s="30"/>
      <c r="B480" s="31"/>
      <c r="C480" s="31"/>
      <c r="D480" s="32"/>
      <c r="E480" s="15">
        <f t="shared" si="1"/>
        <v>0</v>
      </c>
    </row>
    <row r="481" ht="22.5" customHeight="1">
      <c r="A481" s="30"/>
      <c r="B481" s="31"/>
      <c r="C481" s="31"/>
      <c r="D481" s="32"/>
      <c r="E481" s="15">
        <f t="shared" si="1"/>
        <v>0</v>
      </c>
    </row>
    <row r="482" ht="22.5" customHeight="1">
      <c r="A482" s="30"/>
      <c r="B482" s="31"/>
      <c r="C482" s="31"/>
      <c r="D482" s="32"/>
      <c r="E482" s="15">
        <f t="shared" si="1"/>
        <v>0</v>
      </c>
    </row>
    <row r="483" ht="22.5" customHeight="1">
      <c r="A483" s="30"/>
      <c r="B483" s="31"/>
      <c r="C483" s="31"/>
      <c r="D483" s="32"/>
      <c r="E483" s="15">
        <f t="shared" si="1"/>
        <v>0</v>
      </c>
    </row>
    <row r="484" ht="22.5" customHeight="1">
      <c r="A484" s="30"/>
      <c r="B484" s="31"/>
      <c r="C484" s="31"/>
      <c r="D484" s="32"/>
      <c r="E484" s="15">
        <f t="shared" si="1"/>
        <v>0</v>
      </c>
    </row>
    <row r="485" ht="22.5" customHeight="1">
      <c r="A485" s="30"/>
      <c r="B485" s="31"/>
      <c r="C485" s="31"/>
      <c r="D485" s="32"/>
      <c r="E485" s="15">
        <f t="shared" si="1"/>
        <v>0</v>
      </c>
    </row>
    <row r="486" ht="22.5" customHeight="1">
      <c r="A486" s="30"/>
      <c r="B486" s="31"/>
      <c r="C486" s="31"/>
      <c r="D486" s="32"/>
      <c r="E486" s="15">
        <f t="shared" si="1"/>
        <v>0</v>
      </c>
    </row>
    <row r="487" ht="22.5" customHeight="1">
      <c r="A487" s="30"/>
      <c r="B487" s="31"/>
      <c r="C487" s="31"/>
      <c r="D487" s="32"/>
      <c r="E487" s="15">
        <f t="shared" si="1"/>
        <v>0</v>
      </c>
    </row>
    <row r="488" ht="22.5" customHeight="1">
      <c r="A488" s="30"/>
      <c r="B488" s="31"/>
      <c r="C488" s="31"/>
      <c r="D488" s="32"/>
      <c r="E488" s="15">
        <f t="shared" si="1"/>
        <v>0</v>
      </c>
    </row>
    <row r="489" ht="22.5" customHeight="1">
      <c r="A489" s="30"/>
      <c r="B489" s="31"/>
      <c r="C489" s="31"/>
      <c r="D489" s="32"/>
      <c r="E489" s="15">
        <f t="shared" si="1"/>
        <v>0</v>
      </c>
    </row>
    <row r="490" ht="22.5" customHeight="1">
      <c r="A490" s="30"/>
      <c r="B490" s="31"/>
      <c r="C490" s="31"/>
      <c r="D490" s="32"/>
      <c r="E490" s="15">
        <f t="shared" si="1"/>
        <v>0</v>
      </c>
    </row>
    <row r="491" ht="22.5" customHeight="1">
      <c r="A491" s="30"/>
      <c r="B491" s="31"/>
      <c r="C491" s="31"/>
      <c r="D491" s="32"/>
      <c r="E491" s="15">
        <f t="shared" si="1"/>
        <v>0</v>
      </c>
    </row>
    <row r="492" ht="22.5" customHeight="1">
      <c r="A492" s="30"/>
      <c r="B492" s="31"/>
      <c r="C492" s="31"/>
      <c r="D492" s="32"/>
      <c r="E492" s="15">
        <f t="shared" si="1"/>
        <v>0</v>
      </c>
    </row>
    <row r="493" ht="22.5" customHeight="1">
      <c r="A493" s="30"/>
      <c r="B493" s="31"/>
      <c r="C493" s="31"/>
      <c r="D493" s="32"/>
      <c r="E493" s="15">
        <f t="shared" si="1"/>
        <v>0</v>
      </c>
    </row>
    <row r="494" ht="22.5" customHeight="1">
      <c r="A494" s="30"/>
      <c r="B494" s="31"/>
      <c r="C494" s="31"/>
      <c r="D494" s="32"/>
      <c r="E494" s="15">
        <f t="shared" si="1"/>
        <v>0</v>
      </c>
    </row>
    <row r="495" ht="22.5" customHeight="1">
      <c r="A495" s="30"/>
      <c r="B495" s="31"/>
      <c r="C495" s="31"/>
      <c r="D495" s="32"/>
      <c r="E495" s="15">
        <f t="shared" si="1"/>
        <v>0</v>
      </c>
    </row>
    <row r="496" ht="22.5" customHeight="1">
      <c r="A496" s="30"/>
      <c r="B496" s="31"/>
      <c r="C496" s="31"/>
      <c r="D496" s="32"/>
      <c r="E496" s="15">
        <f t="shared" si="1"/>
        <v>0</v>
      </c>
    </row>
    <row r="497" ht="22.5" customHeight="1">
      <c r="A497" s="30"/>
      <c r="B497" s="31"/>
      <c r="C497" s="31"/>
      <c r="D497" s="32"/>
      <c r="E497" s="15">
        <f t="shared" si="1"/>
        <v>0</v>
      </c>
    </row>
    <row r="498" ht="22.5" customHeight="1">
      <c r="A498" s="30"/>
      <c r="B498" s="31"/>
      <c r="C498" s="31"/>
      <c r="D498" s="32"/>
      <c r="E498" s="15">
        <f t="shared" si="1"/>
        <v>0</v>
      </c>
    </row>
    <row r="499" ht="22.5" customHeight="1">
      <c r="A499" s="30"/>
      <c r="B499" s="31"/>
      <c r="C499" s="31"/>
      <c r="D499" s="32"/>
      <c r="E499" s="15">
        <f t="shared" si="1"/>
        <v>0</v>
      </c>
    </row>
    <row r="500" ht="22.5" customHeight="1">
      <c r="A500" s="30"/>
      <c r="B500" s="31"/>
      <c r="C500" s="31"/>
      <c r="D500" s="32"/>
      <c r="E500" s="15">
        <f t="shared" si="1"/>
        <v>0</v>
      </c>
    </row>
    <row r="501" ht="22.5" customHeight="1">
      <c r="A501" s="30"/>
      <c r="B501" s="31"/>
      <c r="C501" s="31"/>
      <c r="D501" s="32"/>
      <c r="E501" s="15">
        <f t="shared" si="1"/>
        <v>0</v>
      </c>
    </row>
    <row r="502" ht="22.5" customHeight="1">
      <c r="A502" s="30"/>
      <c r="B502" s="31"/>
      <c r="C502" s="31"/>
      <c r="D502" s="32"/>
      <c r="E502" s="15">
        <f t="shared" si="1"/>
        <v>0</v>
      </c>
    </row>
    <row r="503" ht="22.5" customHeight="1">
      <c r="A503" s="30"/>
      <c r="B503" s="31"/>
      <c r="C503" s="31"/>
      <c r="D503" s="32"/>
      <c r="E503" s="15">
        <f t="shared" si="1"/>
        <v>0</v>
      </c>
    </row>
    <row r="504" ht="22.5" customHeight="1">
      <c r="A504" s="30"/>
      <c r="B504" s="31"/>
      <c r="C504" s="31"/>
      <c r="D504" s="32"/>
      <c r="E504" s="15">
        <f t="shared" si="1"/>
        <v>0</v>
      </c>
    </row>
    <row r="505" ht="22.5" customHeight="1">
      <c r="A505" s="30"/>
      <c r="B505" s="31"/>
      <c r="C505" s="31"/>
      <c r="D505" s="32"/>
      <c r="E505" s="15">
        <f t="shared" si="1"/>
        <v>0</v>
      </c>
    </row>
    <row r="506" ht="22.5" customHeight="1">
      <c r="A506" s="30"/>
      <c r="B506" s="31"/>
      <c r="C506" s="31"/>
      <c r="D506" s="32"/>
      <c r="E506" s="15">
        <f t="shared" si="1"/>
        <v>0</v>
      </c>
    </row>
    <row r="507" ht="22.5" customHeight="1">
      <c r="A507" s="30"/>
      <c r="B507" s="31"/>
      <c r="C507" s="31"/>
      <c r="D507" s="32"/>
      <c r="E507" s="15">
        <f t="shared" si="1"/>
        <v>0</v>
      </c>
    </row>
    <row r="508" ht="22.5" customHeight="1">
      <c r="A508" s="30"/>
      <c r="B508" s="31"/>
      <c r="C508" s="31"/>
      <c r="D508" s="32"/>
      <c r="E508" s="15">
        <f t="shared" si="1"/>
        <v>0</v>
      </c>
    </row>
    <row r="509" ht="22.5" customHeight="1">
      <c r="A509" s="30"/>
      <c r="B509" s="31"/>
      <c r="C509" s="31"/>
      <c r="D509" s="32"/>
      <c r="E509" s="15">
        <f t="shared" si="1"/>
        <v>0</v>
      </c>
    </row>
    <row r="510" ht="22.5" customHeight="1">
      <c r="A510" s="30"/>
      <c r="B510" s="31"/>
      <c r="C510" s="31"/>
      <c r="D510" s="32"/>
      <c r="E510" s="15">
        <f t="shared" si="1"/>
        <v>0</v>
      </c>
    </row>
    <row r="511" ht="22.5" customHeight="1">
      <c r="A511" s="30"/>
      <c r="B511" s="31"/>
      <c r="C511" s="31"/>
      <c r="D511" s="32"/>
      <c r="E511" s="15">
        <f t="shared" si="1"/>
        <v>0</v>
      </c>
    </row>
    <row r="512" ht="22.5" customHeight="1">
      <c r="A512" s="30"/>
      <c r="B512" s="31"/>
      <c r="C512" s="31"/>
      <c r="D512" s="32"/>
      <c r="E512" s="15">
        <f t="shared" si="1"/>
        <v>0</v>
      </c>
    </row>
    <row r="513" ht="22.5" customHeight="1">
      <c r="A513" s="30"/>
      <c r="B513" s="31"/>
      <c r="C513" s="31"/>
      <c r="D513" s="32"/>
      <c r="E513" s="15">
        <f t="shared" si="1"/>
        <v>0</v>
      </c>
    </row>
    <row r="514" ht="22.5" customHeight="1">
      <c r="A514" s="30"/>
      <c r="B514" s="31"/>
      <c r="C514" s="31"/>
      <c r="D514" s="32"/>
      <c r="E514" s="15">
        <f t="shared" si="1"/>
        <v>0</v>
      </c>
    </row>
    <row r="515" ht="22.5" customHeight="1">
      <c r="A515" s="30"/>
      <c r="B515" s="31"/>
      <c r="C515" s="31"/>
      <c r="D515" s="32"/>
      <c r="E515" s="15">
        <f t="shared" si="1"/>
        <v>0</v>
      </c>
    </row>
    <row r="516" ht="22.5" customHeight="1">
      <c r="A516" s="30"/>
      <c r="B516" s="31"/>
      <c r="C516" s="31"/>
      <c r="D516" s="32"/>
      <c r="E516" s="15">
        <f t="shared" si="1"/>
        <v>0</v>
      </c>
    </row>
    <row r="517" ht="22.5" customHeight="1">
      <c r="A517" s="30"/>
      <c r="B517" s="31"/>
      <c r="C517" s="31"/>
      <c r="D517" s="32"/>
      <c r="E517" s="15">
        <f t="shared" si="1"/>
        <v>0</v>
      </c>
    </row>
    <row r="518" ht="22.5" customHeight="1">
      <c r="A518" s="30"/>
      <c r="B518" s="31"/>
      <c r="C518" s="31"/>
      <c r="D518" s="32"/>
      <c r="E518" s="15">
        <f t="shared" si="1"/>
        <v>0</v>
      </c>
    </row>
    <row r="519" ht="22.5" customHeight="1">
      <c r="A519" s="30"/>
      <c r="B519" s="31"/>
      <c r="C519" s="31"/>
      <c r="D519" s="32"/>
      <c r="E519" s="15">
        <f t="shared" si="1"/>
        <v>0</v>
      </c>
    </row>
    <row r="520" ht="22.5" customHeight="1">
      <c r="A520" s="30"/>
      <c r="B520" s="31"/>
      <c r="C520" s="31"/>
      <c r="D520" s="32"/>
      <c r="E520" s="15">
        <f t="shared" si="1"/>
        <v>0</v>
      </c>
    </row>
    <row r="521" ht="22.5" customHeight="1">
      <c r="A521" s="30"/>
      <c r="B521" s="31"/>
      <c r="C521" s="31"/>
      <c r="D521" s="32"/>
      <c r="E521" s="15">
        <f t="shared" si="1"/>
        <v>0</v>
      </c>
    </row>
    <row r="522" ht="22.5" customHeight="1">
      <c r="A522" s="30"/>
      <c r="B522" s="31"/>
      <c r="C522" s="31"/>
      <c r="D522" s="32"/>
      <c r="E522" s="15">
        <f t="shared" si="1"/>
        <v>0</v>
      </c>
    </row>
    <row r="523" ht="22.5" customHeight="1">
      <c r="A523" s="30"/>
      <c r="B523" s="31"/>
      <c r="C523" s="31"/>
      <c r="D523" s="32"/>
      <c r="E523" s="15">
        <f t="shared" si="1"/>
        <v>0</v>
      </c>
    </row>
    <row r="524" ht="22.5" customHeight="1">
      <c r="A524" s="30"/>
      <c r="B524" s="31"/>
      <c r="C524" s="31"/>
      <c r="D524" s="32"/>
      <c r="E524" s="15">
        <f t="shared" si="1"/>
        <v>0</v>
      </c>
    </row>
    <row r="525" ht="22.5" customHeight="1">
      <c r="A525" s="30"/>
      <c r="B525" s="31"/>
      <c r="C525" s="31"/>
      <c r="D525" s="32"/>
      <c r="E525" s="15">
        <f t="shared" si="1"/>
        <v>0</v>
      </c>
    </row>
    <row r="526" ht="22.5" customHeight="1">
      <c r="A526" s="30"/>
      <c r="B526" s="31"/>
      <c r="C526" s="31"/>
      <c r="D526" s="32"/>
      <c r="E526" s="15">
        <f t="shared" si="1"/>
        <v>0</v>
      </c>
    </row>
    <row r="527" ht="22.5" customHeight="1">
      <c r="A527" s="30"/>
      <c r="B527" s="31"/>
      <c r="C527" s="31"/>
      <c r="D527" s="32"/>
      <c r="E527" s="15">
        <f t="shared" si="1"/>
        <v>0</v>
      </c>
    </row>
    <row r="528" ht="22.5" customHeight="1">
      <c r="A528" s="30"/>
      <c r="B528" s="31"/>
      <c r="C528" s="31"/>
      <c r="D528" s="32"/>
      <c r="E528" s="15">
        <f t="shared" si="1"/>
        <v>0</v>
      </c>
    </row>
    <row r="529" ht="22.5" customHeight="1">
      <c r="A529" s="30"/>
      <c r="B529" s="31"/>
      <c r="C529" s="31"/>
      <c r="D529" s="32"/>
      <c r="E529" s="15">
        <f t="shared" si="1"/>
        <v>0</v>
      </c>
    </row>
    <row r="530" ht="22.5" customHeight="1">
      <c r="A530" s="30"/>
      <c r="B530" s="31"/>
      <c r="C530" s="31"/>
      <c r="D530" s="32"/>
      <c r="E530" s="15">
        <f t="shared" si="1"/>
        <v>0</v>
      </c>
    </row>
    <row r="531" ht="22.5" customHeight="1">
      <c r="A531" s="30"/>
      <c r="B531" s="31"/>
      <c r="C531" s="31"/>
      <c r="D531" s="32"/>
      <c r="E531" s="15">
        <f t="shared" si="1"/>
        <v>0</v>
      </c>
    </row>
    <row r="532" ht="22.5" customHeight="1">
      <c r="A532" s="30"/>
      <c r="B532" s="31"/>
      <c r="C532" s="31"/>
      <c r="D532" s="32"/>
      <c r="E532" s="15">
        <f t="shared" si="1"/>
        <v>0</v>
      </c>
    </row>
    <row r="533" ht="22.5" customHeight="1">
      <c r="A533" s="30"/>
      <c r="B533" s="31"/>
      <c r="C533" s="31"/>
      <c r="D533" s="32"/>
      <c r="E533" s="15">
        <f t="shared" si="1"/>
        <v>0</v>
      </c>
    </row>
    <row r="534" ht="22.5" customHeight="1">
      <c r="A534" s="30"/>
      <c r="B534" s="31"/>
      <c r="C534" s="31"/>
      <c r="D534" s="32"/>
      <c r="E534" s="15">
        <f t="shared" si="1"/>
        <v>0</v>
      </c>
    </row>
    <row r="535" ht="22.5" customHeight="1">
      <c r="A535" s="30"/>
      <c r="B535" s="31"/>
      <c r="C535" s="31"/>
      <c r="D535" s="32"/>
      <c r="E535" s="15">
        <f t="shared" si="1"/>
        <v>0</v>
      </c>
    </row>
    <row r="536" ht="22.5" customHeight="1">
      <c r="A536" s="30"/>
      <c r="B536" s="31"/>
      <c r="C536" s="31"/>
      <c r="D536" s="32"/>
      <c r="E536" s="15">
        <f t="shared" si="1"/>
        <v>0</v>
      </c>
    </row>
    <row r="537" ht="22.5" customHeight="1">
      <c r="A537" s="30"/>
      <c r="B537" s="31"/>
      <c r="C537" s="31"/>
      <c r="D537" s="32"/>
      <c r="E537" s="15">
        <f t="shared" si="1"/>
        <v>0</v>
      </c>
    </row>
    <row r="538" ht="22.5" customHeight="1">
      <c r="A538" s="30"/>
      <c r="B538" s="31"/>
      <c r="C538" s="31"/>
      <c r="D538" s="32"/>
      <c r="E538" s="15">
        <f t="shared" si="1"/>
        <v>0</v>
      </c>
    </row>
    <row r="539" ht="22.5" customHeight="1">
      <c r="A539" s="30"/>
      <c r="B539" s="31"/>
      <c r="C539" s="31"/>
      <c r="D539" s="32"/>
      <c r="E539" s="15">
        <f t="shared" si="1"/>
        <v>0</v>
      </c>
    </row>
    <row r="540" ht="22.5" customHeight="1">
      <c r="A540" s="30"/>
      <c r="B540" s="31"/>
      <c r="C540" s="31"/>
      <c r="D540" s="32"/>
      <c r="E540" s="15">
        <f t="shared" si="1"/>
        <v>0</v>
      </c>
    </row>
    <row r="541" ht="22.5" customHeight="1">
      <c r="A541" s="30"/>
      <c r="B541" s="31"/>
      <c r="C541" s="31"/>
      <c r="D541" s="32"/>
      <c r="E541" s="15">
        <f t="shared" si="1"/>
        <v>0</v>
      </c>
    </row>
    <row r="542" ht="22.5" customHeight="1">
      <c r="A542" s="30"/>
      <c r="B542" s="31"/>
      <c r="C542" s="31"/>
      <c r="D542" s="32"/>
      <c r="E542" s="15">
        <f t="shared" si="1"/>
        <v>0</v>
      </c>
    </row>
    <row r="543" ht="22.5" customHeight="1">
      <c r="A543" s="30"/>
      <c r="B543" s="31"/>
      <c r="C543" s="31"/>
      <c r="D543" s="32"/>
      <c r="E543" s="15">
        <f t="shared" si="1"/>
        <v>0</v>
      </c>
    </row>
    <row r="544" ht="22.5" customHeight="1">
      <c r="A544" s="30"/>
      <c r="B544" s="31"/>
      <c r="C544" s="31"/>
      <c r="D544" s="32"/>
      <c r="E544" s="15">
        <f t="shared" si="1"/>
        <v>0</v>
      </c>
    </row>
    <row r="545" ht="22.5" customHeight="1">
      <c r="A545" s="30"/>
      <c r="B545" s="31"/>
      <c r="C545" s="31"/>
      <c r="D545" s="32"/>
      <c r="E545" s="15">
        <f t="shared" si="1"/>
        <v>0</v>
      </c>
    </row>
    <row r="546" ht="22.5" customHeight="1">
      <c r="A546" s="30"/>
      <c r="B546" s="31"/>
      <c r="C546" s="31"/>
      <c r="D546" s="32"/>
      <c r="E546" s="15">
        <f t="shared" si="1"/>
        <v>0</v>
      </c>
    </row>
    <row r="547" ht="22.5" customHeight="1">
      <c r="A547" s="30"/>
      <c r="B547" s="31"/>
      <c r="C547" s="31"/>
      <c r="D547" s="32"/>
      <c r="E547" s="15">
        <f t="shared" si="1"/>
        <v>0</v>
      </c>
    </row>
    <row r="548" ht="22.5" customHeight="1">
      <c r="A548" s="30"/>
      <c r="B548" s="31"/>
      <c r="C548" s="31"/>
      <c r="D548" s="32"/>
      <c r="E548" s="15">
        <f t="shared" si="1"/>
        <v>0</v>
      </c>
    </row>
    <row r="549" ht="22.5" customHeight="1">
      <c r="A549" s="30"/>
      <c r="B549" s="31"/>
      <c r="C549" s="31"/>
      <c r="D549" s="32"/>
      <c r="E549" s="15">
        <f t="shared" si="1"/>
        <v>0</v>
      </c>
    </row>
    <row r="550" ht="22.5" customHeight="1">
      <c r="A550" s="30"/>
      <c r="B550" s="31"/>
      <c r="C550" s="31"/>
      <c r="D550" s="32"/>
      <c r="E550" s="15">
        <f t="shared" si="1"/>
        <v>0</v>
      </c>
    </row>
    <row r="551" ht="22.5" customHeight="1">
      <c r="A551" s="30"/>
      <c r="B551" s="31"/>
      <c r="C551" s="31"/>
      <c r="D551" s="32"/>
      <c r="E551" s="15">
        <f t="shared" si="1"/>
        <v>0</v>
      </c>
    </row>
    <row r="552" ht="22.5" customHeight="1">
      <c r="A552" s="30"/>
      <c r="B552" s="31"/>
      <c r="C552" s="31"/>
      <c r="D552" s="32"/>
      <c r="E552" s="15">
        <f t="shared" si="1"/>
        <v>0</v>
      </c>
    </row>
    <row r="553" ht="22.5" customHeight="1">
      <c r="A553" s="30"/>
      <c r="B553" s="31"/>
      <c r="C553" s="31"/>
      <c r="D553" s="32"/>
      <c r="E553" s="15">
        <f t="shared" si="1"/>
        <v>0</v>
      </c>
    </row>
    <row r="554" ht="22.5" customHeight="1">
      <c r="A554" s="30"/>
      <c r="B554" s="31"/>
      <c r="C554" s="31"/>
      <c r="D554" s="32"/>
      <c r="E554" s="15">
        <f t="shared" si="1"/>
        <v>0</v>
      </c>
    </row>
  </sheetData>
  <dataValidations>
    <dataValidation type="custom" allowBlank="1" showDropDown="1" sqref="A3:A554">
      <formula1>OR(NOT(ISERROR(DATEVALUE(A3))), AND(ISNUMBER(A3), LEFT(CELL("format", A3))="D"))</formula1>
    </dataValidation>
    <dataValidation type="custom" allowBlank="1" showDropDown="1" sqref="D3:E554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7.63"/>
    <col customWidth="1" min="3" max="3" width="17.25"/>
    <col customWidth="1" min="4" max="4" width="14.63"/>
    <col customWidth="1" min="5" max="5" width="21.13"/>
  </cols>
  <sheetData>
    <row r="1">
      <c r="A1" s="2"/>
      <c r="B1" s="2"/>
      <c r="C1" s="2"/>
      <c r="D1" s="2"/>
      <c r="E1" s="4">
        <f>SUM(Rupay_Biz[Amount])</f>
        <v>0</v>
      </c>
    </row>
    <row r="2" ht="22.5" customHeight="1">
      <c r="A2" s="6" t="s">
        <v>0</v>
      </c>
      <c r="B2" s="6" t="s">
        <v>2</v>
      </c>
      <c r="C2" s="6" t="s">
        <v>3</v>
      </c>
      <c r="D2" s="6" t="s">
        <v>247</v>
      </c>
      <c r="E2" s="6" t="s">
        <v>8</v>
      </c>
    </row>
    <row r="3" ht="22.5" customHeight="1">
      <c r="A3" s="43">
        <f>IFERROR(__xludf.DUMMYFUNCTION("FILTER(Transactions!A:A, Transactions!E:E=""HDFC RuPay Biz"")"),45992.0)</f>
        <v>45992</v>
      </c>
      <c r="B3" s="9" t="str">
        <f>IFERROR(__xludf.DUMMYFUNCTION("FILTER(Transactions!C:C, Transactions!E:E=""HDFC RuPay Biz"")"),"CC PAYMENT 084575504442 PayZapp (Ref# 00000000001201022074424)")</f>
        <v>CC PAYMENT 084575504442 PayZapp (Ref# 00000000001201022074424)</v>
      </c>
      <c r="C3" s="28" t="str">
        <f>IFERROR(__xludf.DUMMYFUNCTION("FILTER(Transactions!D:D, Transactions!E:E=""HDFC RuPay Biz"")"),"Credit Card Expense")</f>
        <v>Credit Card Expense</v>
      </c>
      <c r="D3" s="15">
        <f>IFERROR(__xludf.DUMMYFUNCTION("FILTER(Transactions!H:H, Transactions!E:E=""HDFC RuPay Biz"")"),10.0)</f>
        <v>10</v>
      </c>
      <c r="E3" s="16">
        <f t="shared" ref="E3:E542" si="1">SUM($D$3:D3)</f>
        <v>10</v>
      </c>
    </row>
    <row r="4" ht="22.5" customHeight="1">
      <c r="A4" s="43">
        <f>IFERROR(__xludf.DUMMYFUNCTION("""COMPUTED_VALUE"""),45992.0)</f>
        <v>45992</v>
      </c>
      <c r="B4" s="9" t="str">
        <f>IFERROR(__xludf.DUMMYFUNCTION("""COMPUTED_VALUE"""),"CC PAYMENT 584618745027 PayZapp (Ref# 00000000001201018928179)")</f>
        <v>CC PAYMENT 584618745027 PayZapp (Ref# 00000000001201018928179)</v>
      </c>
      <c r="C4" s="28" t="str">
        <f>IFERROR(__xludf.DUMMYFUNCTION("""COMPUTED_VALUE"""),"Credit Card Expense")</f>
        <v>Credit Card Expense</v>
      </c>
      <c r="D4" s="15">
        <f>IFERROR(__xludf.DUMMYFUNCTION("""COMPUTED_VALUE"""),90.0)</f>
        <v>90</v>
      </c>
      <c r="E4" s="16">
        <f t="shared" si="1"/>
        <v>100</v>
      </c>
    </row>
    <row r="5" ht="22.5" customHeight="1">
      <c r="A5" s="43">
        <f>IFERROR(__xludf.DUMMYFUNCTION("""COMPUTED_VALUE"""),45992.0)</f>
        <v>45992</v>
      </c>
      <c r="B5" s="9" t="str">
        <f>IFERROR(__xludf.DUMMYFUNCTION("""COMPUTED_VALUE"""),"Previous Balance Carry Over")</f>
        <v>Previous Balance Carry Over</v>
      </c>
      <c r="C5" s="28" t="str">
        <f>IFERROR(__xludf.DUMMYFUNCTION("""COMPUTED_VALUE"""),"Credit Card Expense")</f>
        <v>Credit Card Expense</v>
      </c>
      <c r="D5" s="15">
        <f>IFERROR(__xludf.DUMMYFUNCTION("""COMPUTED_VALUE"""),-250.0)</f>
        <v>-250</v>
      </c>
      <c r="E5" s="16">
        <f t="shared" si="1"/>
        <v>-150</v>
      </c>
    </row>
    <row r="6" ht="22.5" customHeight="1">
      <c r="A6" s="43">
        <f>IFERROR(__xludf.DUMMYFUNCTION("""COMPUTED_VALUE"""),45992.0)</f>
        <v>45992</v>
      </c>
      <c r="B6" s="9" t="str">
        <f>IFERROR(__xludf.DUMMYFUNCTION("""COMPUTED_VALUE"""),"UPI-K 25 COMPUTER SHOPPE")</f>
        <v>UPI-K 25 COMPUTER SHOPPE</v>
      </c>
      <c r="C6" s="28" t="str">
        <f>IFERROR(__xludf.DUMMYFUNCTION("""COMPUTED_VALUE"""),"Living Expense")</f>
        <v>Living Expense</v>
      </c>
      <c r="D6" s="15">
        <f>IFERROR(__xludf.DUMMYFUNCTION("""COMPUTED_VALUE"""),-7800.0)</f>
        <v>-7800</v>
      </c>
      <c r="E6" s="16">
        <f t="shared" si="1"/>
        <v>-7950</v>
      </c>
    </row>
    <row r="7" ht="22.5" customHeight="1">
      <c r="A7" s="43">
        <f>IFERROR(__xludf.DUMMYFUNCTION("""COMPUTED_VALUE"""),45994.0)</f>
        <v>45994</v>
      </c>
      <c r="B7" s="9" t="str">
        <f>IFERROR(__xludf.DUMMYFUNCTION("""COMPUTED_VALUE"""),"CANVA* I04720-19362508CAMDEN")</f>
        <v>CANVA* I04720-19362508CAMDEN</v>
      </c>
      <c r="C7" s="28" t="str">
        <f>IFERROR(__xludf.DUMMYFUNCTION("""COMPUTED_VALUE"""),"Living Expense")</f>
        <v>Living Expense</v>
      </c>
      <c r="D7" s="15">
        <f>IFERROR(__xludf.DUMMYFUNCTION("""COMPUTED_VALUE"""),-502.08)</f>
        <v>-502.08</v>
      </c>
      <c r="E7" s="16">
        <f t="shared" si="1"/>
        <v>-8452.08</v>
      </c>
    </row>
    <row r="8" ht="22.5" customHeight="1">
      <c r="A8" s="43">
        <f>IFERROR(__xludf.DUMMYFUNCTION("""COMPUTED_VALUE"""),45994.0)</f>
        <v>45994</v>
      </c>
      <c r="B8" s="9" t="str">
        <f>IFERROR(__xludf.DUMMYFUNCTION("""COMPUTED_VALUE"""),"UPI-Blinkit")</f>
        <v>UPI-Blinkit</v>
      </c>
      <c r="C8" s="28" t="str">
        <f>IFERROR(__xludf.DUMMYFUNCTION("""COMPUTED_VALUE"""),"Living Expense")</f>
        <v>Living Expense</v>
      </c>
      <c r="D8" s="15">
        <f>IFERROR(__xludf.DUMMYFUNCTION("""COMPUTED_VALUE"""),-423.0)</f>
        <v>-423</v>
      </c>
      <c r="E8" s="16">
        <f t="shared" si="1"/>
        <v>-8875.08</v>
      </c>
    </row>
    <row r="9" ht="22.5" customHeight="1">
      <c r="A9" s="43">
        <f>IFERROR(__xludf.DUMMYFUNCTION("""COMPUTED_VALUE"""),45995.0)</f>
        <v>45995</v>
      </c>
      <c r="B9" s="9" t="str">
        <f>IFERROR(__xludf.DUMMYFUNCTION("""COMPUTED_VALUE"""),"UPI-DAZZLE DASH PRIVATE LIMIT")</f>
        <v>UPI-DAZZLE DASH PRIVATE LIMIT</v>
      </c>
      <c r="C9" s="28" t="str">
        <f>IFERROR(__xludf.DUMMYFUNCTION("""COMPUTED_VALUE"""),"Living Expense")</f>
        <v>Living Expense</v>
      </c>
      <c r="D9" s="15">
        <f>IFERROR(__xludf.DUMMYFUNCTION("""COMPUTED_VALUE"""),-800.0)</f>
        <v>-800</v>
      </c>
      <c r="E9" s="16">
        <f t="shared" si="1"/>
        <v>-9675.08</v>
      </c>
    </row>
    <row r="10" ht="22.5" customHeight="1">
      <c r="A10" s="43">
        <f>IFERROR(__xludf.DUMMYFUNCTION("""COMPUTED_VALUE"""),45995.0)</f>
        <v>45995</v>
      </c>
      <c r="B10" s="9" t="str">
        <f>IFERROR(__xludf.DUMMYFUNCTION("""COMPUTED_VALUE"""),"UPI-GOOGLE INDIA DIGITAL SERV")</f>
        <v>UPI-GOOGLE INDIA DIGITAL SERV</v>
      </c>
      <c r="C10" s="28" t="str">
        <f>IFERROR(__xludf.DUMMYFUNCTION("""COMPUTED_VALUE"""),"Living Expense")</f>
        <v>Living Expense</v>
      </c>
      <c r="D10" s="15">
        <f>IFERROR(__xludf.DUMMYFUNCTION("""COMPUTED_VALUE"""),-200.0)</f>
        <v>-200</v>
      </c>
      <c r="E10" s="16">
        <f t="shared" si="1"/>
        <v>-9875.08</v>
      </c>
    </row>
    <row r="11" ht="22.5" customHeight="1">
      <c r="A11" s="43">
        <f>IFERROR(__xludf.DUMMYFUNCTION("""COMPUTED_VALUE"""),45997.0)</f>
        <v>45997</v>
      </c>
      <c r="B11" s="9" t="str">
        <f>IFERROR(__xludf.DUMMYFUNCTION("""COMPUTED_VALUE"""),"CC PAYMENT 755009775519 PayZapp (Ref# 00000000001206018375362)")</f>
        <v>CC PAYMENT 755009775519 PayZapp (Ref# 00000000001206018375362)</v>
      </c>
      <c r="C11" s="28" t="str">
        <f>IFERROR(__xludf.DUMMYFUNCTION("""COMPUTED_VALUE"""),"Credit Card Expense")</f>
        <v>Credit Card Expense</v>
      </c>
      <c r="D11" s="15">
        <f>IFERROR(__xludf.DUMMYFUNCTION("""COMPUTED_VALUE"""),637.0)</f>
        <v>637</v>
      </c>
      <c r="E11" s="16">
        <f t="shared" si="1"/>
        <v>-9238.08</v>
      </c>
    </row>
    <row r="12" ht="22.5" customHeight="1">
      <c r="A12" s="43">
        <f>IFERROR(__xludf.DUMMYFUNCTION("""COMPUTED_VALUE"""),45997.0)</f>
        <v>45997</v>
      </c>
      <c r="B12" s="9" t="str">
        <f>IFERROR(__xludf.DUMMYFUNCTION("""COMPUTED_VALUE"""),"UPI-17X14 CMC PARKNG BACK SIN")</f>
        <v>UPI-17X14 CMC PARKNG BACK SIN</v>
      </c>
      <c r="C12" s="28" t="str">
        <f>IFERROR(__xludf.DUMMYFUNCTION("""COMPUTED_VALUE"""),"Living Expense")</f>
        <v>Living Expense</v>
      </c>
      <c r="D12" s="15">
        <f>IFERROR(__xludf.DUMMYFUNCTION("""COMPUTED_VALUE"""),-14.0)</f>
        <v>-14</v>
      </c>
      <c r="E12" s="16">
        <f t="shared" si="1"/>
        <v>-9252.08</v>
      </c>
    </row>
    <row r="13" ht="22.5" customHeight="1">
      <c r="A13" s="43">
        <f>IFERROR(__xludf.DUMMYFUNCTION("""COMPUTED_VALUE"""),45997.0)</f>
        <v>45997</v>
      </c>
      <c r="B13" s="9" t="str">
        <f>IFERROR(__xludf.DUMMYFUNCTION("""COMPUTED_VALUE"""),"UPI-17X14 CMC PARKNG BACK SIN")</f>
        <v>UPI-17X14 CMC PARKNG BACK SIN</v>
      </c>
      <c r="C13" s="28" t="str">
        <f>IFERROR(__xludf.DUMMYFUNCTION("""COMPUTED_VALUE"""),"Living Expense")</f>
        <v>Living Expense</v>
      </c>
      <c r="D13" s="15">
        <f>IFERROR(__xludf.DUMMYFUNCTION("""COMPUTED_VALUE"""),-14.0)</f>
        <v>-14</v>
      </c>
      <c r="E13" s="16">
        <f t="shared" si="1"/>
        <v>-9266.08</v>
      </c>
    </row>
    <row r="14" ht="22.5" customHeight="1">
      <c r="A14" s="43">
        <f>IFERROR(__xludf.DUMMYFUNCTION("""COMPUTED_VALUE"""),45997.0)</f>
        <v>45997</v>
      </c>
      <c r="B14" s="9" t="str">
        <f>IFERROR(__xludf.DUMMYFUNCTION("""COMPUTED_VALUE"""),"UPI-GOOD AND KIND FOODS PRIVA")</f>
        <v>UPI-GOOD AND KIND FOODS PRIVA</v>
      </c>
      <c r="C14" s="28" t="str">
        <f>IFERROR(__xludf.DUMMYFUNCTION("""COMPUTED_VALUE"""),"Living Expense")</f>
        <v>Living Expense</v>
      </c>
      <c r="D14" s="15">
        <f>IFERROR(__xludf.DUMMYFUNCTION("""COMPUTED_VALUE"""),-1363.0)</f>
        <v>-1363</v>
      </c>
      <c r="E14" s="16">
        <f t="shared" si="1"/>
        <v>-10629.08</v>
      </c>
    </row>
    <row r="15" ht="22.5" customHeight="1">
      <c r="A15" s="43">
        <f>IFERROR(__xludf.DUMMYFUNCTION("""COMPUTED_VALUE"""),45999.0)</f>
        <v>45999</v>
      </c>
      <c r="B15" s="9" t="str">
        <f>IFERROR(__xludf.DUMMYFUNCTION("""COMPUTED_VALUE"""),"CC PAYMENT 015202884421 PayZapp (Ref# 00000000001208018381630)")</f>
        <v>CC PAYMENT 015202884421 PayZapp (Ref# 00000000001208018381630)</v>
      </c>
      <c r="C15" s="28" t="str">
        <f>IFERROR(__xludf.DUMMYFUNCTION("""COMPUTED_VALUE"""),"Credit Card Expense")</f>
        <v>Credit Card Expense</v>
      </c>
      <c r="D15" s="15">
        <f>IFERROR(__xludf.DUMMYFUNCTION("""COMPUTED_VALUE"""),377.0)</f>
        <v>377</v>
      </c>
      <c r="E15" s="16">
        <f t="shared" si="1"/>
        <v>-10252.08</v>
      </c>
    </row>
    <row r="16" ht="22.5" customHeight="1">
      <c r="A16" s="43">
        <f>IFERROR(__xludf.DUMMYFUNCTION("""COMPUTED_VALUE"""),45999.0)</f>
        <v>45999</v>
      </c>
      <c r="B16" s="9" t="str">
        <f>IFERROR(__xludf.DUMMYFUNCTION("""COMPUTED_VALUE"""),"PAYZAPPMUMBAI")</f>
        <v>PAYZAPPMUMBAI</v>
      </c>
      <c r="C16" s="28" t="str">
        <f>IFERROR(__xludf.DUMMYFUNCTION("""COMPUTED_VALUE"""),"Credit Card Expense")</f>
        <v>Credit Card Expense</v>
      </c>
      <c r="D16" s="15">
        <f>IFERROR(__xludf.DUMMYFUNCTION("""COMPUTED_VALUE"""),2.0)</f>
        <v>2</v>
      </c>
      <c r="E16" s="16">
        <f t="shared" si="1"/>
        <v>-10250.08</v>
      </c>
    </row>
    <row r="17" ht="22.5" customHeight="1">
      <c r="A17" s="43">
        <f>IFERROR(__xludf.DUMMYFUNCTION("""COMPUTED_VALUE"""),45999.0)</f>
        <v>45999</v>
      </c>
      <c r="B17" s="9" t="str">
        <f>IFERROR(__xludf.DUMMYFUNCTION("""COMPUTED_VALUE"""),"PAYZAPPMUMBAI")</f>
        <v>PAYZAPPMUMBAI</v>
      </c>
      <c r="C17" s="28" t="str">
        <f>IFERROR(__xludf.DUMMYFUNCTION("""COMPUTED_VALUE"""),"Living Expense")</f>
        <v>Living Expense</v>
      </c>
      <c r="D17" s="15">
        <f>IFERROR(__xludf.DUMMYFUNCTION("""COMPUTED_VALUE"""),-2.0)</f>
        <v>-2</v>
      </c>
      <c r="E17" s="16">
        <f t="shared" si="1"/>
        <v>-10252.08</v>
      </c>
    </row>
    <row r="18" ht="22.5" customHeight="1">
      <c r="A18" s="43">
        <f>IFERROR(__xludf.DUMMYFUNCTION("""COMPUTED_VALUE"""),46001.0)</f>
        <v>46001</v>
      </c>
      <c r="B18" s="9" t="str">
        <f>IFERROR(__xludf.DUMMYFUNCTION("""COMPUTED_VALUE"""),"UPI-Swiggy Ltd")</f>
        <v>UPI-Swiggy Ltd</v>
      </c>
      <c r="C18" s="28" t="str">
        <f>IFERROR(__xludf.DUMMYFUNCTION("""COMPUTED_VALUE"""),"Living Expense")</f>
        <v>Living Expense</v>
      </c>
      <c r="D18" s="15">
        <f>IFERROR(__xludf.DUMMYFUNCTION("""COMPUTED_VALUE"""),-449.0)</f>
        <v>-449</v>
      </c>
      <c r="E18" s="16">
        <f t="shared" si="1"/>
        <v>-10701.08</v>
      </c>
    </row>
    <row r="19" ht="22.5" customHeight="1">
      <c r="A19" s="43">
        <f>IFERROR(__xludf.DUMMYFUNCTION("""COMPUTED_VALUE"""),46002.0)</f>
        <v>46002</v>
      </c>
      <c r="B19" s="9" t="str">
        <f>IFERROR(__xludf.DUMMYFUNCTION("""COMPUTED_VALUE"""),"CC PAYMENT 205441692859 PayZapp (Ref# 00000000001211017405343)")</f>
        <v>CC PAYMENT 205441692859 PayZapp (Ref# 00000000001211017405343)</v>
      </c>
      <c r="C19" s="28" t="str">
        <f>IFERROR(__xludf.DUMMYFUNCTION("""COMPUTED_VALUE"""),"Credit Card Expense")</f>
        <v>Credit Card Expense</v>
      </c>
      <c r="D19" s="15">
        <f>IFERROR(__xludf.DUMMYFUNCTION("""COMPUTED_VALUE"""),451.08)</f>
        <v>451.08</v>
      </c>
      <c r="E19" s="16">
        <f t="shared" si="1"/>
        <v>-10250</v>
      </c>
    </row>
    <row r="20" ht="22.5" customHeight="1">
      <c r="A20" s="43">
        <f>IFERROR(__xludf.DUMMYFUNCTION("""COMPUTED_VALUE"""),46003.0)</f>
        <v>46003</v>
      </c>
      <c r="B20" s="9" t="str">
        <f>IFERROR(__xludf.DUMMYFUNCTION("""COMPUTED_VALUE"""),"UPI-ALCOPRIME DISTILLERI")</f>
        <v>UPI-ALCOPRIME DISTILLERI</v>
      </c>
      <c r="C20" s="28" t="str">
        <f>IFERROR(__xludf.DUMMYFUNCTION("""COMPUTED_VALUE"""),"Living Expense")</f>
        <v>Living Expense</v>
      </c>
      <c r="D20" s="15">
        <f>IFERROR(__xludf.DUMMYFUNCTION("""COMPUTED_VALUE"""),-400.0)</f>
        <v>-400</v>
      </c>
      <c r="E20" s="16">
        <f t="shared" si="1"/>
        <v>-10650</v>
      </c>
    </row>
    <row r="21" ht="22.5" customHeight="1">
      <c r="A21" s="43">
        <f>IFERROR(__xludf.DUMMYFUNCTION("""COMPUTED_VALUE"""),46003.0)</f>
        <v>46003</v>
      </c>
      <c r="B21" s="9" t="str">
        <f>IFERROR(__xludf.DUMMYFUNCTION("""COMPUTED_VALUE"""),"UPI-ALCOPRIME DISTILLERI")</f>
        <v>UPI-ALCOPRIME DISTILLERI</v>
      </c>
      <c r="C21" s="28" t="str">
        <f>IFERROR(__xludf.DUMMYFUNCTION("""COMPUTED_VALUE"""),"Living Expense")</f>
        <v>Living Expense</v>
      </c>
      <c r="D21" s="15">
        <f>IFERROR(__xludf.DUMMYFUNCTION("""COMPUTED_VALUE"""),-10.0)</f>
        <v>-10</v>
      </c>
      <c r="E21" s="16">
        <f t="shared" si="1"/>
        <v>-10660</v>
      </c>
    </row>
    <row r="22" ht="22.5" customHeight="1">
      <c r="A22" s="43">
        <f>IFERROR(__xludf.DUMMYFUNCTION("""COMPUTED_VALUE"""),46003.0)</f>
        <v>46003</v>
      </c>
      <c r="B22" s="9" t="str">
        <f>IFERROR(__xludf.DUMMYFUNCTION("""COMPUTED_VALUE"""),"UPI-Blinkit")</f>
        <v>UPI-Blinkit</v>
      </c>
      <c r="C22" s="28" t="str">
        <f>IFERROR(__xludf.DUMMYFUNCTION("""COMPUTED_VALUE"""),"Living Expense")</f>
        <v>Living Expense</v>
      </c>
      <c r="D22" s="15">
        <f>IFERROR(__xludf.DUMMYFUNCTION("""COMPUTED_VALUE"""),-377.0)</f>
        <v>-377</v>
      </c>
      <c r="E22" s="16">
        <f t="shared" si="1"/>
        <v>-11037</v>
      </c>
    </row>
    <row r="23" ht="22.5" customHeight="1">
      <c r="A23" s="43">
        <f>IFERROR(__xludf.DUMMYFUNCTION("""COMPUTED_VALUE"""),46004.0)</f>
        <v>46004</v>
      </c>
      <c r="B23" s="9" t="str">
        <f>IFERROR(__xludf.DUMMYFUNCTION("""COMPUTED_VALUE"""),"CC PAYMENT 005607412042 PayZapp (Ref# 00000000001213017093244)")</f>
        <v>CC PAYMENT 005607412042 PayZapp (Ref# 00000000001213017093244)</v>
      </c>
      <c r="C23" s="28" t="str">
        <f>IFERROR(__xludf.DUMMYFUNCTION("""COMPUTED_VALUE"""),"Credit Card Expense")</f>
        <v>Credit Card Expense</v>
      </c>
      <c r="D23" s="15">
        <f>IFERROR(__xludf.DUMMYFUNCTION("""COMPUTED_VALUE"""),7787.0)</f>
        <v>7787</v>
      </c>
      <c r="E23" s="16">
        <f t="shared" si="1"/>
        <v>-3250</v>
      </c>
    </row>
    <row r="24" ht="22.5" customHeight="1">
      <c r="A24" s="43">
        <f>IFERROR(__xludf.DUMMYFUNCTION("""COMPUTED_VALUE"""),46004.0)</f>
        <v>46004</v>
      </c>
      <c r="B24" s="9" t="str">
        <f>IFERROR(__xludf.DUMMYFUNCTION("""COMPUTED_VALUE"""),"CC PAYMENT 405607524078 PayZapp (Ref# 00000000001213017135789)")</f>
        <v>CC PAYMENT 405607524078 PayZapp (Ref# 00000000001213017135789)</v>
      </c>
      <c r="C24" s="28" t="str">
        <f>IFERROR(__xludf.DUMMYFUNCTION("""COMPUTED_VALUE"""),"Credit Card Expense")</f>
        <v>Credit Card Expense</v>
      </c>
      <c r="D24" s="15">
        <f>IFERROR(__xludf.DUMMYFUNCTION("""COMPUTED_VALUE"""),1500.0)</f>
        <v>1500</v>
      </c>
      <c r="E24" s="16">
        <f t="shared" si="1"/>
        <v>-1750</v>
      </c>
    </row>
    <row r="25" ht="22.5" customHeight="1">
      <c r="A25" s="44">
        <f>IFERROR(__xludf.DUMMYFUNCTION("""COMPUTED_VALUE"""),46005.0)</f>
        <v>46005</v>
      </c>
      <c r="B25" s="31" t="str">
        <f>IFERROR(__xludf.DUMMYFUNCTION("""COMPUTED_VALUE"""),"UPI-Swiggy Ltd")</f>
        <v>UPI-Swiggy Ltd</v>
      </c>
      <c r="C25" s="45" t="str">
        <f>IFERROR(__xludf.DUMMYFUNCTION("""COMPUTED_VALUE"""),"Living Expense")</f>
        <v>Living Expense</v>
      </c>
      <c r="D25" s="32">
        <f>IFERROR(__xludf.DUMMYFUNCTION("""COMPUTED_VALUE"""),-723.0)</f>
        <v>-723</v>
      </c>
      <c r="E25" s="16">
        <f t="shared" si="1"/>
        <v>-2473</v>
      </c>
    </row>
    <row r="26" ht="22.5" customHeight="1">
      <c r="A26" s="44">
        <f>IFERROR(__xludf.DUMMYFUNCTION("""COMPUTED_VALUE"""),46006.0)</f>
        <v>46006</v>
      </c>
      <c r="B26" s="31" t="str">
        <f>IFERROR(__xludf.DUMMYFUNCTION("""COMPUTED_VALUE"""),"CC Payment 965764394584")</f>
        <v>CC Payment 965764394584</v>
      </c>
      <c r="C26" s="45" t="str">
        <f>IFERROR(__xludf.DUMMYFUNCTION("""COMPUTED_VALUE"""),"Credit Card Expense")</f>
        <v>Credit Card Expense</v>
      </c>
      <c r="D26" s="32">
        <f>IFERROR(__xludf.DUMMYFUNCTION("""COMPUTED_VALUE"""),2223.0)</f>
        <v>2223</v>
      </c>
      <c r="E26" s="16">
        <f t="shared" si="1"/>
        <v>-250</v>
      </c>
    </row>
    <row r="27" ht="22.5" customHeight="1">
      <c r="A27" s="44">
        <f>IFERROR(__xludf.DUMMYFUNCTION("""COMPUTED_VALUE"""),46006.0)</f>
        <v>46006</v>
      </c>
      <c r="B27" s="31" t="str">
        <f>IFERROR(__xludf.DUMMYFUNCTION("""COMPUTED_VALUE"""),"UPI-RADHEY TRADING CO RAIMAL")</f>
        <v>UPI-RADHEY TRADING CO RAIMAL</v>
      </c>
      <c r="C27" s="45" t="str">
        <f>IFERROR(__xludf.DUMMYFUNCTION("""COMPUTED_VALUE"""),"Living Expense")</f>
        <v>Living Expense</v>
      </c>
      <c r="D27" s="32">
        <f>IFERROR(__xludf.DUMMYFUNCTION("""COMPUTED_VALUE"""),-651.0)</f>
        <v>-651</v>
      </c>
      <c r="E27" s="16">
        <f t="shared" si="1"/>
        <v>-901</v>
      </c>
    </row>
    <row r="28" ht="22.5" customHeight="1">
      <c r="A28" s="44">
        <f>IFERROR(__xludf.DUMMYFUNCTION("""COMPUTED_VALUE"""),46006.0)</f>
        <v>46006</v>
      </c>
      <c r="B28" s="31" t="str">
        <f>IFERROR(__xludf.DUMMYFUNCTION("""COMPUTED_VALUE"""),"UPI-The Belgian Waffel Co")</f>
        <v>UPI-The Belgian Waffel Co</v>
      </c>
      <c r="C28" s="45" t="str">
        <f>IFERROR(__xludf.DUMMYFUNCTION("""COMPUTED_VALUE"""),"Living Expense")</f>
        <v>Living Expense</v>
      </c>
      <c r="D28" s="32">
        <f>IFERROR(__xludf.DUMMYFUNCTION("""COMPUTED_VALUE"""),0.0)</f>
        <v>0</v>
      </c>
      <c r="E28" s="16">
        <f t="shared" si="1"/>
        <v>-901</v>
      </c>
    </row>
    <row r="29" ht="22.5" customHeight="1">
      <c r="A29" s="44">
        <f>IFERROR(__xludf.DUMMYFUNCTION("""COMPUTED_VALUE"""),46008.0)</f>
        <v>46008</v>
      </c>
      <c r="B29" s="31" t="str">
        <f>IFERROR(__xludf.DUMMYFUNCTION("""COMPUTED_VALUE"""),"UPI-PARVEEN SON OF RAJ KUMAR")</f>
        <v>UPI-PARVEEN SON OF RAJ KUMAR</v>
      </c>
      <c r="C29" s="45" t="str">
        <f>IFERROR(__xludf.DUMMYFUNCTION("""COMPUTED_VALUE"""),"Living Expense")</f>
        <v>Living Expense</v>
      </c>
      <c r="D29" s="32">
        <f>IFERROR(__xludf.DUMMYFUNCTION("""COMPUTED_VALUE"""),-640.0)</f>
        <v>-640</v>
      </c>
      <c r="E29" s="16">
        <f t="shared" si="1"/>
        <v>-1541</v>
      </c>
    </row>
    <row r="30" ht="22.5" customHeight="1">
      <c r="A30" s="44">
        <f>IFERROR(__xludf.DUMMYFUNCTION("""COMPUTED_VALUE"""),46009.0)</f>
        <v>46009</v>
      </c>
      <c r="B30" s="31" t="str">
        <f>IFERROR(__xludf.DUMMYFUNCTION("""COMPUTED_VALUE"""),"UPI-Swiggy Ltd")</f>
        <v>UPI-Swiggy Ltd</v>
      </c>
      <c r="C30" s="45" t="str">
        <f>IFERROR(__xludf.DUMMYFUNCTION("""COMPUTED_VALUE"""),"Living Expense")</f>
        <v>Living Expense</v>
      </c>
      <c r="D30" s="32">
        <f>IFERROR(__xludf.DUMMYFUNCTION("""COMPUTED_VALUE"""),-655.0)</f>
        <v>-655</v>
      </c>
      <c r="E30" s="16">
        <f t="shared" si="1"/>
        <v>-2196</v>
      </c>
    </row>
    <row r="31" ht="22.5" customHeight="1">
      <c r="A31" s="44">
        <f>IFERROR(__xludf.DUMMYFUNCTION("""COMPUTED_VALUE"""),46010.0)</f>
        <v>46010</v>
      </c>
      <c r="B31" s="31" t="str">
        <f>IFERROR(__xludf.DUMMYFUNCTION("""COMPUTED_VALUE"""),"UPI-ZOMATO")</f>
        <v>UPI-ZOMATO</v>
      </c>
      <c r="C31" s="45" t="str">
        <f>IFERROR(__xludf.DUMMYFUNCTION("""COMPUTED_VALUE"""),"Living Expense")</f>
        <v>Living Expense</v>
      </c>
      <c r="D31" s="32">
        <f>IFERROR(__xludf.DUMMYFUNCTION("""COMPUTED_VALUE"""),-525.55)</f>
        <v>-525.55</v>
      </c>
      <c r="E31" s="16">
        <f t="shared" si="1"/>
        <v>-2721.55</v>
      </c>
    </row>
    <row r="32" ht="22.5" customHeight="1">
      <c r="A32" s="44">
        <f>IFERROR(__xludf.DUMMYFUNCTION("""COMPUTED_VALUE"""),46013.0)</f>
        <v>46013</v>
      </c>
      <c r="B32" s="31" t="str">
        <f>IFERROR(__xludf.DUMMYFUNCTION("""COMPUTED_VALUE"""),"CC PAYMENT 34642665220")</f>
        <v>CC PAYMENT 34642665220</v>
      </c>
      <c r="C32" s="45" t="str">
        <f>IFERROR(__xludf.DUMMYFUNCTION("""COMPUTED_VALUE"""),"Living Expense")</f>
        <v>Living Expense</v>
      </c>
      <c r="D32" s="32">
        <f>IFERROR(__xludf.DUMMYFUNCTION("""COMPUTED_VALUE"""),1200.0)</f>
        <v>1200</v>
      </c>
      <c r="E32" s="16">
        <f t="shared" si="1"/>
        <v>-1521.55</v>
      </c>
    </row>
    <row r="33" ht="22.5" customHeight="1">
      <c r="A33" s="44">
        <f>IFERROR(__xludf.DUMMYFUNCTION("""COMPUTED_VALUE"""),46013.0)</f>
        <v>46013</v>
      </c>
      <c r="B33" s="31" t="str">
        <f>IFERROR(__xludf.DUMMYFUNCTION("""COMPUTED_VALUE"""),"UPI-THE FRIES EMPIRE")</f>
        <v>UPI-THE FRIES EMPIRE</v>
      </c>
      <c r="C33" s="45" t="str">
        <f>IFERROR(__xludf.DUMMYFUNCTION("""COMPUTED_VALUE"""),"Living Expense")</f>
        <v>Living Expense</v>
      </c>
      <c r="D33" s="32">
        <f>IFERROR(__xludf.DUMMYFUNCTION("""COMPUTED_VALUE"""),-592.0)</f>
        <v>-592</v>
      </c>
      <c r="E33" s="16">
        <f t="shared" si="1"/>
        <v>-2113.55</v>
      </c>
    </row>
    <row r="34" ht="22.5" customHeight="1">
      <c r="A34" s="44">
        <f>IFERROR(__xludf.DUMMYFUNCTION("""COMPUTED_VALUE"""),46015.0)</f>
        <v>46015</v>
      </c>
      <c r="B34" s="31" t="str">
        <f>IFERROR(__xludf.DUMMYFUNCTION("""COMPUTED_VALUE"""),"CC PAYMENT 43658591266")</f>
        <v>CC PAYMENT 43658591266</v>
      </c>
      <c r="C34" s="45" t="str">
        <f>IFERROR(__xludf.DUMMYFUNCTION("""COMPUTED_VALUE"""),"Living Expense")</f>
        <v>Living Expense</v>
      </c>
      <c r="D34" s="32">
        <f>IFERROR(__xludf.DUMMYFUNCTION("""COMPUTED_VALUE"""),113.55)</f>
        <v>113.55</v>
      </c>
      <c r="E34" s="16">
        <f t="shared" si="1"/>
        <v>-2000</v>
      </c>
    </row>
    <row r="35" ht="22.5" customHeight="1">
      <c r="A35" s="44">
        <f>IFERROR(__xludf.DUMMYFUNCTION("""COMPUTED_VALUE"""),46016.0)</f>
        <v>46016</v>
      </c>
      <c r="B35" s="31" t="str">
        <f>IFERROR(__xludf.DUMMYFUNCTION("""COMPUTED_VALUE"""),"CC Payment")</f>
        <v>CC Payment</v>
      </c>
      <c r="C35" s="45" t="str">
        <f>IFERROR(__xludf.DUMMYFUNCTION("""COMPUTED_VALUE"""),"Credit Card Expense")</f>
        <v>Credit Card Expense</v>
      </c>
      <c r="D35" s="32">
        <f>IFERROR(__xludf.DUMMYFUNCTION("""COMPUTED_VALUE"""),1100.0)</f>
        <v>1100</v>
      </c>
      <c r="E35" s="16">
        <f t="shared" si="1"/>
        <v>-900</v>
      </c>
    </row>
    <row r="36" ht="22.5" customHeight="1">
      <c r="A36" s="44">
        <f>IFERROR(__xludf.DUMMYFUNCTION("""COMPUTED_VALUE"""),46016.0)</f>
        <v>46016</v>
      </c>
      <c r="B36" s="31" t="str">
        <f>IFERROR(__xludf.DUMMYFUNCTION("""COMPUTED_VALUE"""),"UPI-Achhru Mal Kanwar Chand")</f>
        <v>UPI-Achhru Mal Kanwar Chand</v>
      </c>
      <c r="C36" s="45" t="str">
        <f>IFERROR(__xludf.DUMMYFUNCTION("""COMPUTED_VALUE"""),"Living Expense")</f>
        <v>Living Expense</v>
      </c>
      <c r="D36" s="32">
        <f>IFERROR(__xludf.DUMMYFUNCTION("""COMPUTED_VALUE"""),-100.0)</f>
        <v>-100</v>
      </c>
      <c r="E36" s="16">
        <f t="shared" si="1"/>
        <v>-1000</v>
      </c>
    </row>
    <row r="37" ht="22.5" customHeight="1">
      <c r="A37" s="44">
        <f>IFERROR(__xludf.DUMMYFUNCTION("""COMPUTED_VALUE"""),46016.0)</f>
        <v>46016</v>
      </c>
      <c r="B37" s="31" t="str">
        <f>IFERROR(__xludf.DUMMYFUNCTION("""COMPUTED_VALUE"""),"UPI-JAI SHANKER ENTERPRI")</f>
        <v>UPI-JAI SHANKER ENTERPRI</v>
      </c>
      <c r="C37" s="45" t="str">
        <f>IFERROR(__xludf.DUMMYFUNCTION("""COMPUTED_VALUE"""),"Living Expense")</f>
        <v>Living Expense</v>
      </c>
      <c r="D37" s="32">
        <f>IFERROR(__xludf.DUMMYFUNCTION("""COMPUTED_VALUE"""),-240.0)</f>
        <v>-240</v>
      </c>
      <c r="E37" s="16">
        <f t="shared" si="1"/>
        <v>-1240</v>
      </c>
    </row>
    <row r="38" ht="22.5" customHeight="1">
      <c r="A38" s="44">
        <f>IFERROR(__xludf.DUMMYFUNCTION("""COMPUTED_VALUE"""),46016.0)</f>
        <v>46016</v>
      </c>
      <c r="B38" s="31" t="str">
        <f>IFERROR(__xludf.DUMMYFUNCTION("""COMPUTED_VALUE"""),"UPI-RUDRA RAVA RASOI")</f>
        <v>UPI-RUDRA RAVA RASOI</v>
      </c>
      <c r="C38" s="45" t="str">
        <f>IFERROR(__xludf.DUMMYFUNCTION("""COMPUTED_VALUE"""),"Living Expense")</f>
        <v>Living Expense</v>
      </c>
      <c r="D38" s="32">
        <f>IFERROR(__xludf.DUMMYFUNCTION("""COMPUTED_VALUE"""),-62.0)</f>
        <v>-62</v>
      </c>
      <c r="E38" s="16">
        <f t="shared" si="1"/>
        <v>-1302</v>
      </c>
    </row>
    <row r="39" ht="22.5" customHeight="1">
      <c r="A39" s="44">
        <f>IFERROR(__xludf.DUMMYFUNCTION("""COMPUTED_VALUE"""),46017.0)</f>
        <v>46017</v>
      </c>
      <c r="B39" s="31" t="str">
        <f>IFERROR(__xludf.DUMMYFUNCTION("""COMPUTED_VALUE"""),"CC Payment 616770188691")</f>
        <v>CC Payment 616770188691</v>
      </c>
      <c r="C39" s="45" t="str">
        <f>IFERROR(__xludf.DUMMYFUNCTION("""COMPUTED_VALUE"""),"Credit Card Expense")</f>
        <v>Credit Card Expense</v>
      </c>
      <c r="D39" s="32">
        <f>IFERROR(__xludf.DUMMYFUNCTION("""COMPUTED_VALUE"""),1702.0)</f>
        <v>1702</v>
      </c>
      <c r="E39" s="16">
        <f t="shared" si="1"/>
        <v>400</v>
      </c>
    </row>
    <row r="40" ht="22.5" customHeight="1">
      <c r="A40" s="44">
        <f>IFERROR(__xludf.DUMMYFUNCTION("""COMPUTED_VALUE"""),46017.0)</f>
        <v>46017</v>
      </c>
      <c r="B40" s="31" t="str">
        <f>IFERROR(__xludf.DUMMYFUNCTION("""COMPUTED_VALUE"""),"UPI-Google Asia Pacific Pte.L")</f>
        <v>UPI-Google Asia Pacific Pte.L</v>
      </c>
      <c r="C40" s="45" t="str">
        <f>IFERROR(__xludf.DUMMYFUNCTION("""COMPUTED_VALUE"""),"Living Expense")</f>
        <v>Living Expense</v>
      </c>
      <c r="D40" s="32">
        <f>IFERROR(__xludf.DUMMYFUNCTION("""COMPUTED_VALUE"""),-800.0)</f>
        <v>-800</v>
      </c>
      <c r="E40" s="16">
        <f t="shared" si="1"/>
        <v>-400</v>
      </c>
    </row>
    <row r="41" ht="22.5" customHeight="1">
      <c r="A41" s="44">
        <f>IFERROR(__xludf.DUMMYFUNCTION("""COMPUTED_VALUE"""),46017.0)</f>
        <v>46017</v>
      </c>
      <c r="B41" s="31" t="str">
        <f>IFERROR(__xludf.DUMMYFUNCTION("""COMPUTED_VALUE"""),"UPI-Google Asia Pacific Pte.L")</f>
        <v>UPI-Google Asia Pacific Pte.L</v>
      </c>
      <c r="C41" s="45" t="str">
        <f>IFERROR(__xludf.DUMMYFUNCTION("""COMPUTED_VALUE"""),"Living Expense")</f>
        <v>Living Expense</v>
      </c>
      <c r="D41" s="32">
        <f>IFERROR(__xludf.DUMMYFUNCTION("""COMPUTED_VALUE"""),-1600.0)</f>
        <v>-1600</v>
      </c>
      <c r="E41" s="16">
        <f t="shared" si="1"/>
        <v>-2000</v>
      </c>
    </row>
    <row r="42" ht="22.5" customHeight="1">
      <c r="A42" s="44">
        <f>IFERROR(__xludf.DUMMYFUNCTION("""COMPUTED_VALUE"""),46021.0)</f>
        <v>46021</v>
      </c>
      <c r="B42" s="31" t="str">
        <f>IFERROR(__xludf.DUMMYFUNCTION("""COMPUTED_VALUE"""),"GT Road Reservation- Swiggy Diner")</f>
        <v>GT Road Reservation- Swiggy Diner</v>
      </c>
      <c r="C42" s="45" t="str">
        <f>IFERROR(__xludf.DUMMYFUNCTION("""COMPUTED_VALUE"""),"Living Expense")</f>
        <v>Living Expense</v>
      </c>
      <c r="D42" s="32">
        <f>IFERROR(__xludf.DUMMYFUNCTION("""COMPUTED_VALUE"""),-30.0)</f>
        <v>-30</v>
      </c>
      <c r="E42" s="16">
        <f t="shared" si="1"/>
        <v>-2030</v>
      </c>
    </row>
    <row r="43" ht="22.5" customHeight="1">
      <c r="A43" s="44">
        <f>IFERROR(__xludf.DUMMYFUNCTION("""COMPUTED_VALUE"""),46021.0)</f>
        <v>46021</v>
      </c>
      <c r="B43" s="31" t="str">
        <f>IFERROR(__xludf.DUMMYFUNCTION("""COMPUTED_VALUE"""),"GT Road Reservation- Swiggy Payment")</f>
        <v>GT Road Reservation- Swiggy Payment</v>
      </c>
      <c r="C43" s="45" t="str">
        <f>IFERROR(__xludf.DUMMYFUNCTION("""COMPUTED_VALUE"""),"Living Expense")</f>
        <v>Living Expense</v>
      </c>
      <c r="D43" s="32">
        <f>IFERROR(__xludf.DUMMYFUNCTION("""COMPUTED_VALUE"""),-3850.0)</f>
        <v>-3850</v>
      </c>
      <c r="E43" s="16">
        <f t="shared" si="1"/>
        <v>-5880</v>
      </c>
    </row>
    <row r="44" ht="22.5" customHeight="1">
      <c r="A44" s="44">
        <f>IFERROR(__xludf.DUMMYFUNCTION("""COMPUTED_VALUE"""),46022.0)</f>
        <v>46022</v>
      </c>
      <c r="B44" s="31" t="str">
        <f>IFERROR(__xludf.DUMMYFUNCTION("""COMPUTED_VALUE"""),"UPI-SWIGGY")</f>
        <v>UPI-SWIGGY</v>
      </c>
      <c r="C44" s="45" t="str">
        <f>IFERROR(__xludf.DUMMYFUNCTION("""COMPUTED_VALUE"""),"Living Expense")</f>
        <v>Living Expense</v>
      </c>
      <c r="D44" s="32">
        <f>IFERROR(__xludf.DUMMYFUNCTION("""COMPUTED_VALUE"""),-634.0)</f>
        <v>-634</v>
      </c>
      <c r="E44" s="16">
        <f t="shared" si="1"/>
        <v>-6514</v>
      </c>
    </row>
    <row r="45" ht="22.5" customHeight="1">
      <c r="A45" s="44">
        <f>IFERROR(__xludf.DUMMYFUNCTION("""COMPUTED_VALUE"""),46023.0)</f>
        <v>46023</v>
      </c>
      <c r="B45" s="31" t="str">
        <f>IFERROR(__xludf.DUMMYFUNCTION("""COMPUTED_VALUE"""),"CC PAYMENT 737239369645 PayZapp (Ref# 00000000000101021198342)")</f>
        <v>CC PAYMENT 737239369645 PayZapp (Ref# 00000000000101021198342)</v>
      </c>
      <c r="C45" s="45" t="str">
        <f>IFERROR(__xludf.DUMMYFUNCTION("""COMPUTED_VALUE"""),"Credit Card Expense")</f>
        <v>Credit Card Expense</v>
      </c>
      <c r="D45" s="32">
        <f>IFERROR(__xludf.DUMMYFUNCTION("""COMPUTED_VALUE"""),43.9)</f>
        <v>43.9</v>
      </c>
      <c r="E45" s="16">
        <f t="shared" si="1"/>
        <v>-6470.1</v>
      </c>
    </row>
    <row r="46" ht="22.5" customHeight="1">
      <c r="A46" s="44">
        <f>IFERROR(__xludf.DUMMYFUNCTION("""COMPUTED_VALUE"""),46023.0)</f>
        <v>46023</v>
      </c>
      <c r="B46" s="31" t="str">
        <f>IFERROR(__xludf.DUMMYFUNCTION("""COMPUTED_VALUE"""),"CC PAYMENT 977294689215 PayZapp (Ref# 00000000000101020472607)")</f>
        <v>CC PAYMENT 977294689215 PayZapp (Ref# 00000000000101020472607)</v>
      </c>
      <c r="C46" s="45" t="str">
        <f>IFERROR(__xludf.DUMMYFUNCTION("""COMPUTED_VALUE"""),"Credit Card Expense")</f>
        <v>Credit Card Expense</v>
      </c>
      <c r="D46" s="32">
        <f>IFERROR(__xludf.DUMMYFUNCTION("""COMPUTED_VALUE"""),2000.0)</f>
        <v>2000</v>
      </c>
      <c r="E46" s="16">
        <f t="shared" si="1"/>
        <v>-4470.1</v>
      </c>
    </row>
    <row r="47" ht="22.5" customHeight="1">
      <c r="A47" s="44">
        <f>IFERROR(__xludf.DUMMYFUNCTION("""COMPUTED_VALUE"""),46028.0)</f>
        <v>46028</v>
      </c>
      <c r="B47" s="31" t="str">
        <f>IFERROR(__xludf.DUMMYFUNCTION("""COMPUTED_VALUE"""),"CC PAYMENT 857699848805 PayZapp (Ref# 00000000000106017969572)")</f>
        <v>CC PAYMENT 857699848805 PayZapp (Ref# 00000000000106017969572)</v>
      </c>
      <c r="C47" s="45" t="str">
        <f>IFERROR(__xludf.DUMMYFUNCTION("""COMPUTED_VALUE"""),"Credit Card Expense")</f>
        <v>Credit Card Expense</v>
      </c>
      <c r="D47" s="32">
        <f>IFERROR(__xludf.DUMMYFUNCTION("""COMPUTED_VALUE"""),428.23)</f>
        <v>428.23</v>
      </c>
      <c r="E47" s="16">
        <f t="shared" si="1"/>
        <v>-4041.87</v>
      </c>
    </row>
    <row r="48" ht="22.5" customHeight="1">
      <c r="A48" s="44">
        <f>IFERROR(__xludf.DUMMYFUNCTION("""COMPUTED_VALUE"""),46030.0)</f>
        <v>46030</v>
      </c>
      <c r="B48" s="31" t="str">
        <f>IFERROR(__xludf.DUMMYFUNCTION("""COMPUTED_VALUE"""),"CC PAYMENT 257863520913 PayZapp (Ref# 00000000000108017447823)")</f>
        <v>CC PAYMENT 257863520913 PayZapp (Ref# 00000000000108017447823)</v>
      </c>
      <c r="C48" s="45" t="str">
        <f>IFERROR(__xludf.DUMMYFUNCTION("""COMPUTED_VALUE"""),"Credit Card Expense")</f>
        <v>Credit Card Expense</v>
      </c>
      <c r="D48" s="32">
        <f>IFERROR(__xludf.DUMMYFUNCTION("""COMPUTED_VALUE"""),998.72)</f>
        <v>998.72</v>
      </c>
      <c r="E48" s="16">
        <f t="shared" si="1"/>
        <v>-3043.15</v>
      </c>
    </row>
    <row r="49" ht="22.5" customHeight="1">
      <c r="A49" s="44">
        <f>IFERROR(__xludf.DUMMYFUNCTION("""COMPUTED_VALUE"""),46031.0)</f>
        <v>46031</v>
      </c>
      <c r="B49" s="31" t="str">
        <f>IFERROR(__xludf.DUMMYFUNCTION("""COMPUTED_VALUE"""),"UPI-SWIGGY")</f>
        <v>UPI-SWIGGY</v>
      </c>
      <c r="C49" s="45" t="str">
        <f>IFERROR(__xludf.DUMMYFUNCTION("""COMPUTED_VALUE"""),"Living Expense")</f>
        <v>Living Expense</v>
      </c>
      <c r="D49" s="32">
        <f>IFERROR(__xludf.DUMMYFUNCTION("""COMPUTED_VALUE"""),-394.0)</f>
        <v>-394</v>
      </c>
      <c r="E49" s="16">
        <f t="shared" si="1"/>
        <v>-3437.15</v>
      </c>
    </row>
    <row r="50" ht="22.5" customHeight="1">
      <c r="A50" s="44">
        <f>IFERROR(__xludf.DUMMYFUNCTION("""COMPUTED_VALUE"""),46033.0)</f>
        <v>46033</v>
      </c>
      <c r="B50" s="31" t="str">
        <f>IFERROR(__xludf.DUMMYFUNCTION("""COMPUTED_VALUE"""),"UPI-PEElante MallChandigarh")</f>
        <v>UPI-PEElante MallChandigarh</v>
      </c>
      <c r="C50" s="45" t="str">
        <f>IFERROR(__xludf.DUMMYFUNCTION("""COMPUTED_VALUE"""),"Living Expense")</f>
        <v>Living Expense</v>
      </c>
      <c r="D50" s="32">
        <f>IFERROR(__xludf.DUMMYFUNCTION("""COMPUTED_VALUE"""),-17.0)</f>
        <v>-17</v>
      </c>
      <c r="E50" s="16">
        <f t="shared" si="1"/>
        <v>-3454.15</v>
      </c>
    </row>
    <row r="51" ht="22.5" customHeight="1">
      <c r="A51" s="44">
        <f>IFERROR(__xludf.DUMMYFUNCTION("""COMPUTED_VALUE"""),46037.0)</f>
        <v>46037</v>
      </c>
      <c r="B51" s="31" t="str">
        <f>IFERROR(__xludf.DUMMYFUNCTION("""COMPUTED_VALUE"""),"POS 406584XXXXXX4354 PZ HDFC CC BILLP")</f>
        <v>POS 406584XXXXXX4354 PZ HDFC CC BILLP</v>
      </c>
      <c r="C51" s="45" t="str">
        <f>IFERROR(__xludf.DUMMYFUNCTION("""COMPUTED_VALUE"""),"Credit Card Expense")</f>
        <v>Credit Card Expense</v>
      </c>
      <c r="D51" s="32">
        <f>IFERROR(__xludf.DUMMYFUNCTION("""COMPUTED_VALUE"""),3454.15)</f>
        <v>3454.15</v>
      </c>
      <c r="E51" s="16">
        <f t="shared" si="1"/>
        <v>0</v>
      </c>
    </row>
    <row r="52" ht="22.5" customHeight="1">
      <c r="A52" s="44"/>
      <c r="B52" s="31"/>
      <c r="C52" s="45"/>
      <c r="D52" s="32"/>
      <c r="E52" s="16">
        <f t="shared" si="1"/>
        <v>0</v>
      </c>
    </row>
    <row r="53" ht="22.5" customHeight="1">
      <c r="A53" s="44"/>
      <c r="B53" s="31"/>
      <c r="C53" s="45"/>
      <c r="D53" s="32"/>
      <c r="E53" s="16">
        <f t="shared" si="1"/>
        <v>0</v>
      </c>
    </row>
    <row r="54" ht="22.5" customHeight="1">
      <c r="A54" s="44"/>
      <c r="B54" s="31"/>
      <c r="C54" s="45"/>
      <c r="D54" s="32"/>
      <c r="E54" s="16">
        <f t="shared" si="1"/>
        <v>0</v>
      </c>
    </row>
    <row r="55" ht="22.5" customHeight="1">
      <c r="A55" s="44"/>
      <c r="B55" s="31"/>
      <c r="C55" s="45"/>
      <c r="D55" s="32"/>
      <c r="E55" s="16">
        <f t="shared" si="1"/>
        <v>0</v>
      </c>
    </row>
    <row r="56" ht="22.5" customHeight="1">
      <c r="A56" s="44"/>
      <c r="B56" s="31"/>
      <c r="C56" s="45"/>
      <c r="D56" s="32"/>
      <c r="E56" s="16">
        <f t="shared" si="1"/>
        <v>0</v>
      </c>
    </row>
    <row r="57" ht="22.5" customHeight="1">
      <c r="A57" s="44"/>
      <c r="B57" s="31"/>
      <c r="C57" s="45"/>
      <c r="D57" s="32"/>
      <c r="E57" s="16">
        <f t="shared" si="1"/>
        <v>0</v>
      </c>
    </row>
    <row r="58" ht="22.5" customHeight="1">
      <c r="A58" s="44"/>
      <c r="B58" s="31"/>
      <c r="C58" s="45"/>
      <c r="D58" s="32"/>
      <c r="E58" s="16">
        <f t="shared" si="1"/>
        <v>0</v>
      </c>
    </row>
    <row r="59" ht="22.5" customHeight="1">
      <c r="A59" s="44"/>
      <c r="B59" s="31"/>
      <c r="C59" s="45"/>
      <c r="D59" s="32"/>
      <c r="E59" s="16">
        <f t="shared" si="1"/>
        <v>0</v>
      </c>
    </row>
    <row r="60" ht="22.5" customHeight="1">
      <c r="A60" s="44"/>
      <c r="B60" s="31"/>
      <c r="C60" s="45"/>
      <c r="D60" s="32"/>
      <c r="E60" s="16">
        <f t="shared" si="1"/>
        <v>0</v>
      </c>
    </row>
    <row r="61" ht="22.5" customHeight="1">
      <c r="A61" s="44"/>
      <c r="B61" s="31"/>
      <c r="C61" s="45"/>
      <c r="D61" s="32"/>
      <c r="E61" s="16">
        <f t="shared" si="1"/>
        <v>0</v>
      </c>
    </row>
    <row r="62" ht="22.5" customHeight="1">
      <c r="A62" s="44"/>
      <c r="B62" s="31"/>
      <c r="C62" s="45"/>
      <c r="D62" s="32"/>
      <c r="E62" s="16">
        <f t="shared" si="1"/>
        <v>0</v>
      </c>
    </row>
    <row r="63" ht="22.5" customHeight="1">
      <c r="A63" s="44"/>
      <c r="B63" s="31"/>
      <c r="C63" s="45"/>
      <c r="D63" s="32"/>
      <c r="E63" s="16">
        <f t="shared" si="1"/>
        <v>0</v>
      </c>
    </row>
    <row r="64" ht="22.5" customHeight="1">
      <c r="A64" s="44"/>
      <c r="B64" s="31"/>
      <c r="C64" s="45"/>
      <c r="D64" s="32"/>
      <c r="E64" s="16">
        <f t="shared" si="1"/>
        <v>0</v>
      </c>
    </row>
    <row r="65" ht="22.5" customHeight="1">
      <c r="A65" s="44"/>
      <c r="B65" s="31"/>
      <c r="C65" s="45"/>
      <c r="D65" s="32"/>
      <c r="E65" s="16">
        <f t="shared" si="1"/>
        <v>0</v>
      </c>
    </row>
    <row r="66" ht="22.5" customHeight="1">
      <c r="A66" s="44"/>
      <c r="B66" s="31"/>
      <c r="C66" s="45"/>
      <c r="D66" s="32"/>
      <c r="E66" s="16">
        <f t="shared" si="1"/>
        <v>0</v>
      </c>
    </row>
    <row r="67" ht="22.5" customHeight="1">
      <c r="A67" s="44"/>
      <c r="B67" s="31"/>
      <c r="C67" s="45"/>
      <c r="D67" s="32"/>
      <c r="E67" s="16">
        <f t="shared" si="1"/>
        <v>0</v>
      </c>
    </row>
    <row r="68" ht="22.5" customHeight="1">
      <c r="A68" s="44"/>
      <c r="B68" s="31"/>
      <c r="C68" s="45"/>
      <c r="D68" s="32"/>
      <c r="E68" s="16">
        <f t="shared" si="1"/>
        <v>0</v>
      </c>
    </row>
    <row r="69" ht="22.5" customHeight="1">
      <c r="A69" s="44"/>
      <c r="B69" s="31"/>
      <c r="C69" s="45"/>
      <c r="D69" s="32"/>
      <c r="E69" s="16">
        <f t="shared" si="1"/>
        <v>0</v>
      </c>
    </row>
    <row r="70" ht="22.5" customHeight="1">
      <c r="A70" s="44"/>
      <c r="B70" s="31"/>
      <c r="C70" s="45"/>
      <c r="D70" s="32"/>
      <c r="E70" s="16">
        <f t="shared" si="1"/>
        <v>0</v>
      </c>
    </row>
    <row r="71" ht="22.5" customHeight="1">
      <c r="A71" s="44"/>
      <c r="B71" s="31"/>
      <c r="C71" s="45"/>
      <c r="D71" s="32"/>
      <c r="E71" s="16">
        <f t="shared" si="1"/>
        <v>0</v>
      </c>
    </row>
    <row r="72" ht="22.5" customHeight="1">
      <c r="A72" s="44"/>
      <c r="B72" s="31"/>
      <c r="C72" s="45"/>
      <c r="D72" s="32"/>
      <c r="E72" s="16">
        <f t="shared" si="1"/>
        <v>0</v>
      </c>
    </row>
    <row r="73" ht="22.5" customHeight="1">
      <c r="A73" s="44"/>
      <c r="B73" s="31"/>
      <c r="C73" s="45"/>
      <c r="D73" s="32"/>
      <c r="E73" s="16">
        <f t="shared" si="1"/>
        <v>0</v>
      </c>
    </row>
    <row r="74" ht="22.5" customHeight="1">
      <c r="A74" s="44"/>
      <c r="B74" s="31"/>
      <c r="C74" s="45"/>
      <c r="D74" s="32"/>
      <c r="E74" s="16">
        <f t="shared" si="1"/>
        <v>0</v>
      </c>
    </row>
    <row r="75" ht="22.5" customHeight="1">
      <c r="A75" s="44"/>
      <c r="B75" s="31"/>
      <c r="C75" s="45"/>
      <c r="D75" s="32"/>
      <c r="E75" s="16">
        <f t="shared" si="1"/>
        <v>0</v>
      </c>
    </row>
    <row r="76" ht="22.5" customHeight="1">
      <c r="A76" s="44"/>
      <c r="B76" s="31"/>
      <c r="C76" s="45"/>
      <c r="D76" s="32"/>
      <c r="E76" s="16">
        <f t="shared" si="1"/>
        <v>0</v>
      </c>
    </row>
    <row r="77" ht="22.5" customHeight="1">
      <c r="A77" s="44"/>
      <c r="B77" s="31"/>
      <c r="C77" s="45"/>
      <c r="D77" s="32"/>
      <c r="E77" s="16">
        <f t="shared" si="1"/>
        <v>0</v>
      </c>
    </row>
    <row r="78" ht="22.5" customHeight="1">
      <c r="A78" s="44"/>
      <c r="B78" s="31"/>
      <c r="C78" s="45"/>
      <c r="D78" s="32"/>
      <c r="E78" s="16">
        <f t="shared" si="1"/>
        <v>0</v>
      </c>
    </row>
    <row r="79" ht="22.5" customHeight="1">
      <c r="A79" s="44"/>
      <c r="B79" s="31"/>
      <c r="C79" s="45"/>
      <c r="D79" s="32"/>
      <c r="E79" s="16">
        <f t="shared" si="1"/>
        <v>0</v>
      </c>
    </row>
    <row r="80" ht="22.5" customHeight="1">
      <c r="A80" s="44"/>
      <c r="B80" s="31"/>
      <c r="C80" s="45"/>
      <c r="D80" s="32"/>
      <c r="E80" s="16">
        <f t="shared" si="1"/>
        <v>0</v>
      </c>
    </row>
    <row r="81" ht="22.5" customHeight="1">
      <c r="A81" s="44"/>
      <c r="B81" s="31"/>
      <c r="C81" s="45"/>
      <c r="D81" s="32"/>
      <c r="E81" s="16">
        <f t="shared" si="1"/>
        <v>0</v>
      </c>
    </row>
    <row r="82" ht="22.5" customHeight="1">
      <c r="A82" s="44"/>
      <c r="B82" s="31"/>
      <c r="C82" s="45"/>
      <c r="D82" s="32"/>
      <c r="E82" s="16">
        <f t="shared" si="1"/>
        <v>0</v>
      </c>
    </row>
    <row r="83" ht="22.5" customHeight="1">
      <c r="A83" s="44"/>
      <c r="B83" s="31"/>
      <c r="C83" s="45"/>
      <c r="D83" s="32"/>
      <c r="E83" s="16">
        <f t="shared" si="1"/>
        <v>0</v>
      </c>
    </row>
    <row r="84" ht="22.5" customHeight="1">
      <c r="A84" s="44"/>
      <c r="B84" s="31"/>
      <c r="C84" s="45"/>
      <c r="D84" s="32"/>
      <c r="E84" s="16">
        <f t="shared" si="1"/>
        <v>0</v>
      </c>
    </row>
    <row r="85" ht="22.5" customHeight="1">
      <c r="A85" s="44"/>
      <c r="B85" s="31"/>
      <c r="C85" s="45"/>
      <c r="D85" s="32"/>
      <c r="E85" s="16">
        <f t="shared" si="1"/>
        <v>0</v>
      </c>
    </row>
    <row r="86" ht="22.5" customHeight="1">
      <c r="A86" s="44"/>
      <c r="B86" s="31"/>
      <c r="C86" s="45"/>
      <c r="D86" s="32"/>
      <c r="E86" s="16">
        <f t="shared" si="1"/>
        <v>0</v>
      </c>
    </row>
    <row r="87" ht="22.5" customHeight="1">
      <c r="A87" s="44"/>
      <c r="B87" s="31"/>
      <c r="C87" s="45"/>
      <c r="D87" s="32"/>
      <c r="E87" s="16">
        <f t="shared" si="1"/>
        <v>0</v>
      </c>
    </row>
    <row r="88" ht="22.5" customHeight="1">
      <c r="A88" s="44"/>
      <c r="B88" s="31"/>
      <c r="C88" s="45"/>
      <c r="D88" s="32"/>
      <c r="E88" s="16">
        <f t="shared" si="1"/>
        <v>0</v>
      </c>
    </row>
    <row r="89" ht="22.5" customHeight="1">
      <c r="A89" s="44"/>
      <c r="B89" s="31"/>
      <c r="C89" s="45"/>
      <c r="D89" s="32"/>
      <c r="E89" s="16">
        <f t="shared" si="1"/>
        <v>0</v>
      </c>
    </row>
    <row r="90" ht="22.5" customHeight="1">
      <c r="A90" s="44"/>
      <c r="B90" s="31"/>
      <c r="C90" s="45"/>
      <c r="D90" s="32"/>
      <c r="E90" s="16">
        <f t="shared" si="1"/>
        <v>0</v>
      </c>
    </row>
    <row r="91" ht="22.5" customHeight="1">
      <c r="A91" s="44"/>
      <c r="B91" s="31"/>
      <c r="C91" s="45"/>
      <c r="D91" s="32"/>
      <c r="E91" s="16">
        <f t="shared" si="1"/>
        <v>0</v>
      </c>
    </row>
    <row r="92" ht="22.5" customHeight="1">
      <c r="A92" s="44"/>
      <c r="B92" s="31"/>
      <c r="C92" s="45"/>
      <c r="D92" s="32"/>
      <c r="E92" s="16">
        <f t="shared" si="1"/>
        <v>0</v>
      </c>
    </row>
    <row r="93" ht="22.5" customHeight="1">
      <c r="A93" s="44"/>
      <c r="B93" s="31"/>
      <c r="C93" s="45"/>
      <c r="D93" s="32"/>
      <c r="E93" s="16">
        <f t="shared" si="1"/>
        <v>0</v>
      </c>
    </row>
    <row r="94" ht="22.5" customHeight="1">
      <c r="A94" s="44"/>
      <c r="B94" s="31"/>
      <c r="C94" s="45"/>
      <c r="D94" s="32"/>
      <c r="E94" s="16">
        <f t="shared" si="1"/>
        <v>0</v>
      </c>
    </row>
    <row r="95" ht="22.5" customHeight="1">
      <c r="A95" s="44"/>
      <c r="B95" s="31"/>
      <c r="C95" s="45"/>
      <c r="D95" s="32"/>
      <c r="E95" s="16">
        <f t="shared" si="1"/>
        <v>0</v>
      </c>
    </row>
    <row r="96" ht="22.5" customHeight="1">
      <c r="A96" s="44"/>
      <c r="B96" s="31"/>
      <c r="C96" s="45"/>
      <c r="D96" s="32"/>
      <c r="E96" s="16">
        <f t="shared" si="1"/>
        <v>0</v>
      </c>
    </row>
    <row r="97" ht="22.5" customHeight="1">
      <c r="A97" s="44"/>
      <c r="B97" s="31"/>
      <c r="C97" s="45"/>
      <c r="D97" s="32"/>
      <c r="E97" s="16">
        <f t="shared" si="1"/>
        <v>0</v>
      </c>
    </row>
    <row r="98" ht="22.5" customHeight="1">
      <c r="A98" s="44"/>
      <c r="B98" s="31"/>
      <c r="C98" s="45"/>
      <c r="D98" s="32"/>
      <c r="E98" s="16">
        <f t="shared" si="1"/>
        <v>0</v>
      </c>
    </row>
    <row r="99" ht="22.5" customHeight="1">
      <c r="A99" s="44"/>
      <c r="B99" s="31"/>
      <c r="C99" s="45"/>
      <c r="D99" s="32"/>
      <c r="E99" s="16">
        <f t="shared" si="1"/>
        <v>0</v>
      </c>
    </row>
    <row r="100" ht="22.5" customHeight="1">
      <c r="A100" s="44"/>
      <c r="B100" s="31"/>
      <c r="C100" s="45"/>
      <c r="D100" s="32"/>
      <c r="E100" s="16">
        <f t="shared" si="1"/>
        <v>0</v>
      </c>
    </row>
    <row r="101" ht="22.5" customHeight="1">
      <c r="A101" s="44"/>
      <c r="B101" s="31"/>
      <c r="C101" s="45"/>
      <c r="D101" s="32"/>
      <c r="E101" s="16">
        <f t="shared" si="1"/>
        <v>0</v>
      </c>
    </row>
    <row r="102" ht="22.5" customHeight="1">
      <c r="A102" s="44"/>
      <c r="B102" s="31"/>
      <c r="C102" s="45"/>
      <c r="D102" s="32"/>
      <c r="E102" s="16">
        <f t="shared" si="1"/>
        <v>0</v>
      </c>
    </row>
    <row r="103" ht="22.5" customHeight="1">
      <c r="A103" s="44"/>
      <c r="B103" s="31"/>
      <c r="C103" s="45"/>
      <c r="D103" s="32"/>
      <c r="E103" s="16">
        <f t="shared" si="1"/>
        <v>0</v>
      </c>
    </row>
    <row r="104" ht="22.5" customHeight="1">
      <c r="A104" s="44"/>
      <c r="B104" s="31"/>
      <c r="C104" s="45"/>
      <c r="D104" s="32"/>
      <c r="E104" s="16">
        <f t="shared" si="1"/>
        <v>0</v>
      </c>
    </row>
    <row r="105" ht="22.5" customHeight="1">
      <c r="A105" s="44"/>
      <c r="B105" s="31"/>
      <c r="C105" s="45"/>
      <c r="D105" s="32"/>
      <c r="E105" s="16">
        <f t="shared" si="1"/>
        <v>0</v>
      </c>
    </row>
    <row r="106" ht="22.5" customHeight="1">
      <c r="A106" s="44"/>
      <c r="B106" s="31"/>
      <c r="C106" s="45"/>
      <c r="D106" s="32"/>
      <c r="E106" s="16">
        <f t="shared" si="1"/>
        <v>0</v>
      </c>
    </row>
    <row r="107" ht="22.5" customHeight="1">
      <c r="A107" s="44"/>
      <c r="B107" s="31"/>
      <c r="C107" s="45"/>
      <c r="D107" s="32"/>
      <c r="E107" s="16">
        <f t="shared" si="1"/>
        <v>0</v>
      </c>
    </row>
    <row r="108" ht="22.5" customHeight="1">
      <c r="A108" s="44"/>
      <c r="B108" s="31"/>
      <c r="C108" s="45"/>
      <c r="D108" s="32"/>
      <c r="E108" s="16">
        <f t="shared" si="1"/>
        <v>0</v>
      </c>
    </row>
    <row r="109" ht="22.5" customHeight="1">
      <c r="A109" s="44"/>
      <c r="B109" s="31"/>
      <c r="C109" s="45"/>
      <c r="D109" s="32"/>
      <c r="E109" s="16">
        <f t="shared" si="1"/>
        <v>0</v>
      </c>
    </row>
    <row r="110" ht="22.5" customHeight="1">
      <c r="A110" s="44"/>
      <c r="B110" s="31"/>
      <c r="C110" s="45"/>
      <c r="D110" s="32"/>
      <c r="E110" s="16">
        <f t="shared" si="1"/>
        <v>0</v>
      </c>
    </row>
    <row r="111" ht="22.5" customHeight="1">
      <c r="A111" s="44"/>
      <c r="B111" s="31"/>
      <c r="C111" s="45"/>
      <c r="D111" s="32"/>
      <c r="E111" s="16">
        <f t="shared" si="1"/>
        <v>0</v>
      </c>
    </row>
    <row r="112" ht="22.5" customHeight="1">
      <c r="A112" s="44"/>
      <c r="B112" s="31"/>
      <c r="C112" s="45"/>
      <c r="D112" s="32"/>
      <c r="E112" s="16">
        <f t="shared" si="1"/>
        <v>0</v>
      </c>
    </row>
    <row r="113" ht="22.5" customHeight="1">
      <c r="A113" s="44"/>
      <c r="B113" s="31"/>
      <c r="C113" s="45"/>
      <c r="D113" s="32"/>
      <c r="E113" s="16">
        <f t="shared" si="1"/>
        <v>0</v>
      </c>
    </row>
    <row r="114" ht="22.5" customHeight="1">
      <c r="A114" s="44"/>
      <c r="B114" s="31"/>
      <c r="C114" s="45"/>
      <c r="D114" s="32"/>
      <c r="E114" s="16">
        <f t="shared" si="1"/>
        <v>0</v>
      </c>
    </row>
    <row r="115" ht="22.5" customHeight="1">
      <c r="A115" s="44"/>
      <c r="B115" s="31"/>
      <c r="C115" s="45"/>
      <c r="D115" s="32"/>
      <c r="E115" s="16">
        <f t="shared" si="1"/>
        <v>0</v>
      </c>
    </row>
    <row r="116" ht="22.5" customHeight="1">
      <c r="A116" s="44"/>
      <c r="B116" s="31"/>
      <c r="C116" s="45"/>
      <c r="D116" s="32"/>
      <c r="E116" s="16">
        <f t="shared" si="1"/>
        <v>0</v>
      </c>
    </row>
    <row r="117" ht="22.5" customHeight="1">
      <c r="A117" s="44"/>
      <c r="B117" s="31"/>
      <c r="C117" s="45"/>
      <c r="D117" s="32"/>
      <c r="E117" s="16">
        <f t="shared" si="1"/>
        <v>0</v>
      </c>
    </row>
    <row r="118" ht="22.5" customHeight="1">
      <c r="A118" s="44"/>
      <c r="B118" s="31"/>
      <c r="C118" s="45"/>
      <c r="D118" s="32"/>
      <c r="E118" s="16">
        <f t="shared" si="1"/>
        <v>0</v>
      </c>
    </row>
    <row r="119" ht="22.5" customHeight="1">
      <c r="A119" s="44"/>
      <c r="B119" s="31"/>
      <c r="C119" s="45"/>
      <c r="D119" s="32"/>
      <c r="E119" s="16">
        <f t="shared" si="1"/>
        <v>0</v>
      </c>
    </row>
    <row r="120" ht="22.5" customHeight="1">
      <c r="A120" s="44"/>
      <c r="B120" s="31"/>
      <c r="C120" s="45"/>
      <c r="D120" s="32"/>
      <c r="E120" s="16">
        <f t="shared" si="1"/>
        <v>0</v>
      </c>
    </row>
    <row r="121" ht="22.5" customHeight="1">
      <c r="A121" s="44"/>
      <c r="B121" s="31"/>
      <c r="C121" s="45"/>
      <c r="D121" s="32"/>
      <c r="E121" s="16">
        <f t="shared" si="1"/>
        <v>0</v>
      </c>
    </row>
    <row r="122" ht="22.5" customHeight="1">
      <c r="A122" s="44"/>
      <c r="B122" s="31"/>
      <c r="C122" s="45"/>
      <c r="D122" s="32"/>
      <c r="E122" s="16">
        <f t="shared" si="1"/>
        <v>0</v>
      </c>
    </row>
    <row r="123" ht="22.5" customHeight="1">
      <c r="A123" s="44"/>
      <c r="B123" s="31"/>
      <c r="C123" s="45"/>
      <c r="D123" s="32"/>
      <c r="E123" s="16">
        <f t="shared" si="1"/>
        <v>0</v>
      </c>
    </row>
    <row r="124" ht="22.5" customHeight="1">
      <c r="A124" s="44"/>
      <c r="B124" s="31"/>
      <c r="C124" s="45"/>
      <c r="D124" s="32"/>
      <c r="E124" s="16">
        <f t="shared" si="1"/>
        <v>0</v>
      </c>
    </row>
    <row r="125" ht="22.5" customHeight="1">
      <c r="A125" s="44"/>
      <c r="B125" s="31"/>
      <c r="C125" s="45"/>
      <c r="D125" s="32"/>
      <c r="E125" s="16">
        <f t="shared" si="1"/>
        <v>0</v>
      </c>
    </row>
    <row r="126" ht="22.5" customHeight="1">
      <c r="A126" s="44"/>
      <c r="B126" s="31"/>
      <c r="C126" s="45"/>
      <c r="D126" s="32"/>
      <c r="E126" s="16">
        <f t="shared" si="1"/>
        <v>0</v>
      </c>
    </row>
    <row r="127" ht="22.5" customHeight="1">
      <c r="A127" s="44"/>
      <c r="B127" s="31"/>
      <c r="C127" s="45"/>
      <c r="D127" s="32"/>
      <c r="E127" s="16">
        <f t="shared" si="1"/>
        <v>0</v>
      </c>
    </row>
    <row r="128" ht="22.5" customHeight="1">
      <c r="A128" s="44"/>
      <c r="B128" s="31"/>
      <c r="C128" s="45"/>
      <c r="D128" s="32"/>
      <c r="E128" s="16">
        <f t="shared" si="1"/>
        <v>0</v>
      </c>
    </row>
    <row r="129" ht="22.5" customHeight="1">
      <c r="A129" s="44"/>
      <c r="B129" s="31"/>
      <c r="C129" s="45"/>
      <c r="D129" s="32"/>
      <c r="E129" s="16">
        <f t="shared" si="1"/>
        <v>0</v>
      </c>
    </row>
    <row r="130" ht="22.5" customHeight="1">
      <c r="A130" s="44"/>
      <c r="B130" s="31"/>
      <c r="C130" s="45"/>
      <c r="D130" s="32"/>
      <c r="E130" s="16">
        <f t="shared" si="1"/>
        <v>0</v>
      </c>
    </row>
    <row r="131" ht="22.5" customHeight="1">
      <c r="A131" s="44"/>
      <c r="B131" s="31"/>
      <c r="C131" s="45"/>
      <c r="D131" s="32"/>
      <c r="E131" s="16">
        <f t="shared" si="1"/>
        <v>0</v>
      </c>
    </row>
    <row r="132" ht="22.5" customHeight="1">
      <c r="A132" s="44"/>
      <c r="B132" s="31"/>
      <c r="C132" s="45"/>
      <c r="D132" s="32"/>
      <c r="E132" s="16">
        <f t="shared" si="1"/>
        <v>0</v>
      </c>
    </row>
    <row r="133" ht="22.5" customHeight="1">
      <c r="A133" s="44"/>
      <c r="B133" s="31"/>
      <c r="C133" s="45"/>
      <c r="D133" s="32"/>
      <c r="E133" s="16">
        <f t="shared" si="1"/>
        <v>0</v>
      </c>
    </row>
    <row r="134" ht="22.5" customHeight="1">
      <c r="A134" s="44"/>
      <c r="B134" s="31"/>
      <c r="C134" s="45"/>
      <c r="D134" s="32"/>
      <c r="E134" s="16">
        <f t="shared" si="1"/>
        <v>0</v>
      </c>
    </row>
    <row r="135" ht="22.5" customHeight="1">
      <c r="A135" s="44"/>
      <c r="B135" s="31"/>
      <c r="C135" s="45"/>
      <c r="D135" s="32"/>
      <c r="E135" s="16">
        <f t="shared" si="1"/>
        <v>0</v>
      </c>
    </row>
    <row r="136" ht="22.5" customHeight="1">
      <c r="A136" s="44"/>
      <c r="B136" s="31"/>
      <c r="C136" s="45"/>
      <c r="D136" s="32"/>
      <c r="E136" s="16">
        <f t="shared" si="1"/>
        <v>0</v>
      </c>
    </row>
    <row r="137" ht="22.5" customHeight="1">
      <c r="A137" s="44"/>
      <c r="B137" s="31"/>
      <c r="C137" s="45"/>
      <c r="D137" s="32"/>
      <c r="E137" s="16">
        <f t="shared" si="1"/>
        <v>0</v>
      </c>
    </row>
    <row r="138" ht="22.5" customHeight="1">
      <c r="A138" s="44"/>
      <c r="B138" s="31"/>
      <c r="C138" s="45"/>
      <c r="D138" s="32"/>
      <c r="E138" s="16">
        <f t="shared" si="1"/>
        <v>0</v>
      </c>
    </row>
    <row r="139" ht="22.5" customHeight="1">
      <c r="A139" s="44"/>
      <c r="B139" s="31"/>
      <c r="C139" s="45"/>
      <c r="D139" s="32"/>
      <c r="E139" s="16">
        <f t="shared" si="1"/>
        <v>0</v>
      </c>
    </row>
    <row r="140" ht="22.5" customHeight="1">
      <c r="A140" s="44"/>
      <c r="B140" s="31"/>
      <c r="C140" s="45"/>
      <c r="D140" s="32"/>
      <c r="E140" s="16">
        <f t="shared" si="1"/>
        <v>0</v>
      </c>
    </row>
    <row r="141" ht="22.5" customHeight="1">
      <c r="A141" s="44"/>
      <c r="B141" s="31"/>
      <c r="C141" s="45"/>
      <c r="D141" s="32"/>
      <c r="E141" s="16">
        <f t="shared" si="1"/>
        <v>0</v>
      </c>
    </row>
    <row r="142" ht="22.5" customHeight="1">
      <c r="A142" s="44"/>
      <c r="B142" s="31"/>
      <c r="C142" s="45"/>
      <c r="D142" s="32"/>
      <c r="E142" s="16">
        <f t="shared" si="1"/>
        <v>0</v>
      </c>
    </row>
    <row r="143" ht="22.5" customHeight="1">
      <c r="A143" s="44"/>
      <c r="B143" s="31"/>
      <c r="C143" s="45"/>
      <c r="D143" s="32"/>
      <c r="E143" s="16">
        <f t="shared" si="1"/>
        <v>0</v>
      </c>
    </row>
    <row r="144" ht="22.5" customHeight="1">
      <c r="A144" s="44"/>
      <c r="B144" s="31"/>
      <c r="C144" s="45"/>
      <c r="D144" s="32"/>
      <c r="E144" s="16">
        <f t="shared" si="1"/>
        <v>0</v>
      </c>
    </row>
    <row r="145" ht="22.5" customHeight="1">
      <c r="A145" s="44"/>
      <c r="B145" s="31"/>
      <c r="C145" s="45"/>
      <c r="D145" s="32"/>
      <c r="E145" s="16">
        <f t="shared" si="1"/>
        <v>0</v>
      </c>
    </row>
    <row r="146" ht="22.5" customHeight="1">
      <c r="A146" s="44"/>
      <c r="B146" s="31"/>
      <c r="C146" s="45"/>
      <c r="D146" s="32"/>
      <c r="E146" s="16">
        <f t="shared" si="1"/>
        <v>0</v>
      </c>
    </row>
    <row r="147" ht="22.5" customHeight="1">
      <c r="A147" s="44"/>
      <c r="B147" s="31"/>
      <c r="C147" s="45"/>
      <c r="D147" s="32"/>
      <c r="E147" s="16">
        <f t="shared" si="1"/>
        <v>0</v>
      </c>
    </row>
    <row r="148" ht="22.5" customHeight="1">
      <c r="A148" s="44"/>
      <c r="B148" s="31"/>
      <c r="C148" s="45"/>
      <c r="D148" s="32"/>
      <c r="E148" s="16">
        <f t="shared" si="1"/>
        <v>0</v>
      </c>
    </row>
    <row r="149" ht="22.5" customHeight="1">
      <c r="A149" s="44"/>
      <c r="B149" s="31"/>
      <c r="C149" s="45"/>
      <c r="D149" s="32"/>
      <c r="E149" s="16">
        <f t="shared" si="1"/>
        <v>0</v>
      </c>
    </row>
    <row r="150" ht="22.5" customHeight="1">
      <c r="A150" s="44"/>
      <c r="B150" s="31"/>
      <c r="C150" s="45"/>
      <c r="D150" s="32"/>
      <c r="E150" s="16">
        <f t="shared" si="1"/>
        <v>0</v>
      </c>
    </row>
    <row r="151" ht="22.5" customHeight="1">
      <c r="A151" s="44"/>
      <c r="B151" s="31"/>
      <c r="C151" s="45"/>
      <c r="D151" s="32"/>
      <c r="E151" s="16">
        <f t="shared" si="1"/>
        <v>0</v>
      </c>
    </row>
    <row r="152" ht="22.5" customHeight="1">
      <c r="A152" s="44"/>
      <c r="B152" s="31"/>
      <c r="C152" s="45"/>
      <c r="D152" s="32"/>
      <c r="E152" s="16">
        <f t="shared" si="1"/>
        <v>0</v>
      </c>
    </row>
    <row r="153" ht="22.5" customHeight="1">
      <c r="A153" s="44"/>
      <c r="B153" s="31"/>
      <c r="C153" s="45"/>
      <c r="D153" s="32"/>
      <c r="E153" s="16">
        <f t="shared" si="1"/>
        <v>0</v>
      </c>
    </row>
    <row r="154" ht="22.5" customHeight="1">
      <c r="A154" s="44"/>
      <c r="B154" s="31"/>
      <c r="C154" s="45"/>
      <c r="D154" s="32"/>
      <c r="E154" s="16">
        <f t="shared" si="1"/>
        <v>0</v>
      </c>
    </row>
    <row r="155" ht="22.5" customHeight="1">
      <c r="A155" s="44"/>
      <c r="B155" s="31"/>
      <c r="C155" s="45"/>
      <c r="D155" s="32"/>
      <c r="E155" s="16">
        <f t="shared" si="1"/>
        <v>0</v>
      </c>
    </row>
    <row r="156" ht="22.5" customHeight="1">
      <c r="A156" s="44"/>
      <c r="B156" s="31"/>
      <c r="C156" s="45"/>
      <c r="D156" s="32"/>
      <c r="E156" s="16">
        <f t="shared" si="1"/>
        <v>0</v>
      </c>
    </row>
    <row r="157" ht="22.5" customHeight="1">
      <c r="A157" s="44"/>
      <c r="B157" s="31"/>
      <c r="C157" s="45"/>
      <c r="D157" s="32"/>
      <c r="E157" s="16">
        <f t="shared" si="1"/>
        <v>0</v>
      </c>
    </row>
    <row r="158" ht="22.5" customHeight="1">
      <c r="A158" s="44"/>
      <c r="B158" s="31"/>
      <c r="C158" s="45"/>
      <c r="D158" s="32"/>
      <c r="E158" s="16">
        <f t="shared" si="1"/>
        <v>0</v>
      </c>
    </row>
    <row r="159" ht="22.5" customHeight="1">
      <c r="A159" s="44"/>
      <c r="B159" s="31"/>
      <c r="C159" s="45"/>
      <c r="D159" s="32"/>
      <c r="E159" s="16">
        <f t="shared" si="1"/>
        <v>0</v>
      </c>
    </row>
    <row r="160" ht="22.5" customHeight="1">
      <c r="A160" s="44"/>
      <c r="B160" s="31"/>
      <c r="C160" s="45"/>
      <c r="D160" s="32"/>
      <c r="E160" s="16">
        <f t="shared" si="1"/>
        <v>0</v>
      </c>
    </row>
    <row r="161" ht="22.5" customHeight="1">
      <c r="A161" s="44"/>
      <c r="B161" s="31"/>
      <c r="C161" s="45"/>
      <c r="D161" s="32"/>
      <c r="E161" s="16">
        <f t="shared" si="1"/>
        <v>0</v>
      </c>
    </row>
    <row r="162" ht="22.5" customHeight="1">
      <c r="A162" s="44"/>
      <c r="B162" s="31"/>
      <c r="C162" s="45"/>
      <c r="D162" s="32"/>
      <c r="E162" s="16">
        <f t="shared" si="1"/>
        <v>0</v>
      </c>
    </row>
    <row r="163" ht="22.5" customHeight="1">
      <c r="A163" s="44"/>
      <c r="B163" s="31"/>
      <c r="C163" s="45"/>
      <c r="D163" s="32"/>
      <c r="E163" s="16">
        <f t="shared" si="1"/>
        <v>0</v>
      </c>
    </row>
    <row r="164" ht="22.5" customHeight="1">
      <c r="A164" s="44"/>
      <c r="B164" s="31"/>
      <c r="C164" s="45"/>
      <c r="D164" s="32"/>
      <c r="E164" s="16">
        <f t="shared" si="1"/>
        <v>0</v>
      </c>
    </row>
    <row r="165" ht="22.5" customHeight="1">
      <c r="A165" s="44"/>
      <c r="B165" s="31"/>
      <c r="C165" s="45"/>
      <c r="D165" s="32"/>
      <c r="E165" s="16">
        <f t="shared" si="1"/>
        <v>0</v>
      </c>
    </row>
    <row r="166" ht="22.5" customHeight="1">
      <c r="A166" s="44"/>
      <c r="B166" s="31"/>
      <c r="C166" s="45"/>
      <c r="D166" s="32"/>
      <c r="E166" s="16">
        <f t="shared" si="1"/>
        <v>0</v>
      </c>
    </row>
    <row r="167" ht="22.5" customHeight="1">
      <c r="A167" s="44"/>
      <c r="B167" s="31"/>
      <c r="C167" s="45"/>
      <c r="D167" s="32"/>
      <c r="E167" s="16">
        <f t="shared" si="1"/>
        <v>0</v>
      </c>
    </row>
    <row r="168" ht="22.5" customHeight="1">
      <c r="A168" s="44"/>
      <c r="B168" s="31"/>
      <c r="C168" s="45"/>
      <c r="D168" s="32"/>
      <c r="E168" s="16">
        <f t="shared" si="1"/>
        <v>0</v>
      </c>
    </row>
    <row r="169" ht="22.5" customHeight="1">
      <c r="A169" s="44"/>
      <c r="B169" s="31"/>
      <c r="C169" s="45"/>
      <c r="D169" s="32"/>
      <c r="E169" s="16">
        <f t="shared" si="1"/>
        <v>0</v>
      </c>
    </row>
    <row r="170" ht="22.5" customHeight="1">
      <c r="A170" s="44"/>
      <c r="B170" s="31"/>
      <c r="C170" s="45"/>
      <c r="D170" s="32"/>
      <c r="E170" s="16">
        <f t="shared" si="1"/>
        <v>0</v>
      </c>
    </row>
    <row r="171" ht="22.5" customHeight="1">
      <c r="A171" s="44"/>
      <c r="B171" s="31"/>
      <c r="C171" s="45"/>
      <c r="D171" s="32"/>
      <c r="E171" s="16">
        <f t="shared" si="1"/>
        <v>0</v>
      </c>
    </row>
    <row r="172" ht="22.5" customHeight="1">
      <c r="A172" s="44"/>
      <c r="B172" s="31"/>
      <c r="C172" s="45"/>
      <c r="D172" s="32"/>
      <c r="E172" s="16">
        <f t="shared" si="1"/>
        <v>0</v>
      </c>
    </row>
    <row r="173" ht="22.5" customHeight="1">
      <c r="A173" s="44"/>
      <c r="B173" s="31"/>
      <c r="C173" s="45"/>
      <c r="D173" s="32"/>
      <c r="E173" s="16">
        <f t="shared" si="1"/>
        <v>0</v>
      </c>
    </row>
    <row r="174" ht="22.5" customHeight="1">
      <c r="A174" s="44"/>
      <c r="B174" s="31"/>
      <c r="C174" s="45"/>
      <c r="D174" s="32"/>
      <c r="E174" s="16">
        <f t="shared" si="1"/>
        <v>0</v>
      </c>
    </row>
    <row r="175" ht="22.5" customHeight="1">
      <c r="A175" s="44"/>
      <c r="B175" s="31"/>
      <c r="C175" s="45"/>
      <c r="D175" s="32"/>
      <c r="E175" s="16">
        <f t="shared" si="1"/>
        <v>0</v>
      </c>
    </row>
    <row r="176" ht="22.5" customHeight="1">
      <c r="A176" s="44"/>
      <c r="B176" s="31"/>
      <c r="C176" s="45"/>
      <c r="D176" s="32"/>
      <c r="E176" s="16">
        <f t="shared" si="1"/>
        <v>0</v>
      </c>
    </row>
    <row r="177" ht="22.5" customHeight="1">
      <c r="A177" s="44"/>
      <c r="B177" s="31"/>
      <c r="C177" s="45"/>
      <c r="D177" s="32"/>
      <c r="E177" s="16">
        <f t="shared" si="1"/>
        <v>0</v>
      </c>
    </row>
    <row r="178" ht="22.5" customHeight="1">
      <c r="A178" s="44"/>
      <c r="B178" s="31"/>
      <c r="C178" s="45"/>
      <c r="D178" s="32"/>
      <c r="E178" s="16">
        <f t="shared" si="1"/>
        <v>0</v>
      </c>
    </row>
    <row r="179" ht="22.5" customHeight="1">
      <c r="A179" s="44"/>
      <c r="B179" s="31"/>
      <c r="C179" s="45"/>
      <c r="D179" s="32"/>
      <c r="E179" s="16">
        <f t="shared" si="1"/>
        <v>0</v>
      </c>
    </row>
    <row r="180" ht="22.5" customHeight="1">
      <c r="A180" s="44"/>
      <c r="B180" s="31"/>
      <c r="C180" s="45"/>
      <c r="D180" s="32"/>
      <c r="E180" s="16">
        <f t="shared" si="1"/>
        <v>0</v>
      </c>
    </row>
    <row r="181" ht="22.5" customHeight="1">
      <c r="A181" s="44"/>
      <c r="B181" s="31"/>
      <c r="C181" s="45"/>
      <c r="D181" s="32"/>
      <c r="E181" s="16">
        <f t="shared" si="1"/>
        <v>0</v>
      </c>
    </row>
    <row r="182" ht="22.5" customHeight="1">
      <c r="A182" s="44"/>
      <c r="B182" s="31"/>
      <c r="C182" s="45"/>
      <c r="D182" s="32"/>
      <c r="E182" s="16">
        <f t="shared" si="1"/>
        <v>0</v>
      </c>
    </row>
    <row r="183" ht="22.5" customHeight="1">
      <c r="A183" s="44"/>
      <c r="B183" s="31"/>
      <c r="C183" s="45"/>
      <c r="D183" s="32"/>
      <c r="E183" s="16">
        <f t="shared" si="1"/>
        <v>0</v>
      </c>
    </row>
    <row r="184" ht="22.5" customHeight="1">
      <c r="A184" s="44"/>
      <c r="B184" s="31"/>
      <c r="C184" s="45"/>
      <c r="D184" s="32"/>
      <c r="E184" s="16">
        <f t="shared" si="1"/>
        <v>0</v>
      </c>
    </row>
    <row r="185" ht="22.5" customHeight="1">
      <c r="A185" s="44"/>
      <c r="B185" s="31"/>
      <c r="C185" s="45"/>
      <c r="D185" s="32"/>
      <c r="E185" s="16">
        <f t="shared" si="1"/>
        <v>0</v>
      </c>
    </row>
    <row r="186" ht="22.5" customHeight="1">
      <c r="A186" s="44"/>
      <c r="B186" s="31"/>
      <c r="C186" s="45"/>
      <c r="D186" s="32"/>
      <c r="E186" s="16">
        <f t="shared" si="1"/>
        <v>0</v>
      </c>
    </row>
    <row r="187" ht="22.5" customHeight="1">
      <c r="A187" s="44"/>
      <c r="B187" s="31"/>
      <c r="C187" s="45"/>
      <c r="D187" s="32"/>
      <c r="E187" s="16">
        <f t="shared" si="1"/>
        <v>0</v>
      </c>
    </row>
    <row r="188" ht="22.5" customHeight="1">
      <c r="A188" s="44"/>
      <c r="B188" s="31"/>
      <c r="C188" s="45"/>
      <c r="D188" s="32"/>
      <c r="E188" s="16">
        <f t="shared" si="1"/>
        <v>0</v>
      </c>
    </row>
    <row r="189" ht="22.5" customHeight="1">
      <c r="A189" s="44"/>
      <c r="B189" s="31"/>
      <c r="C189" s="45"/>
      <c r="D189" s="32"/>
      <c r="E189" s="16">
        <f t="shared" si="1"/>
        <v>0</v>
      </c>
    </row>
    <row r="190" ht="22.5" customHeight="1">
      <c r="A190" s="44"/>
      <c r="B190" s="31"/>
      <c r="C190" s="45"/>
      <c r="D190" s="32"/>
      <c r="E190" s="16">
        <f t="shared" si="1"/>
        <v>0</v>
      </c>
    </row>
    <row r="191" ht="22.5" customHeight="1">
      <c r="A191" s="44"/>
      <c r="B191" s="31"/>
      <c r="C191" s="45"/>
      <c r="D191" s="32"/>
      <c r="E191" s="16">
        <f t="shared" si="1"/>
        <v>0</v>
      </c>
    </row>
    <row r="192" ht="22.5" customHeight="1">
      <c r="A192" s="44"/>
      <c r="B192" s="31"/>
      <c r="C192" s="45"/>
      <c r="D192" s="32"/>
      <c r="E192" s="16">
        <f t="shared" si="1"/>
        <v>0</v>
      </c>
    </row>
    <row r="193" ht="22.5" customHeight="1">
      <c r="A193" s="44"/>
      <c r="B193" s="31"/>
      <c r="C193" s="45"/>
      <c r="D193" s="32"/>
      <c r="E193" s="16">
        <f t="shared" si="1"/>
        <v>0</v>
      </c>
    </row>
    <row r="194" ht="22.5" customHeight="1">
      <c r="A194" s="44"/>
      <c r="B194" s="31"/>
      <c r="C194" s="45"/>
      <c r="D194" s="32"/>
      <c r="E194" s="16">
        <f t="shared" si="1"/>
        <v>0</v>
      </c>
    </row>
    <row r="195" ht="22.5" customHeight="1">
      <c r="A195" s="44"/>
      <c r="B195" s="31"/>
      <c r="C195" s="45"/>
      <c r="D195" s="32"/>
      <c r="E195" s="16">
        <f t="shared" si="1"/>
        <v>0</v>
      </c>
    </row>
    <row r="196" ht="22.5" customHeight="1">
      <c r="A196" s="44"/>
      <c r="B196" s="31"/>
      <c r="C196" s="45"/>
      <c r="D196" s="32"/>
      <c r="E196" s="16">
        <f t="shared" si="1"/>
        <v>0</v>
      </c>
    </row>
    <row r="197" ht="22.5" customHeight="1">
      <c r="A197" s="44"/>
      <c r="B197" s="31"/>
      <c r="C197" s="45"/>
      <c r="D197" s="32"/>
      <c r="E197" s="16">
        <f t="shared" si="1"/>
        <v>0</v>
      </c>
    </row>
    <row r="198" ht="22.5" customHeight="1">
      <c r="A198" s="44"/>
      <c r="B198" s="31"/>
      <c r="C198" s="45"/>
      <c r="D198" s="32"/>
      <c r="E198" s="16">
        <f t="shared" si="1"/>
        <v>0</v>
      </c>
    </row>
    <row r="199" ht="22.5" customHeight="1">
      <c r="A199" s="44"/>
      <c r="B199" s="31"/>
      <c r="C199" s="45"/>
      <c r="D199" s="32"/>
      <c r="E199" s="16">
        <f t="shared" si="1"/>
        <v>0</v>
      </c>
    </row>
    <row r="200" ht="22.5" customHeight="1">
      <c r="A200" s="44"/>
      <c r="B200" s="31"/>
      <c r="C200" s="45"/>
      <c r="D200" s="32"/>
      <c r="E200" s="16">
        <f t="shared" si="1"/>
        <v>0</v>
      </c>
    </row>
    <row r="201" ht="22.5" customHeight="1">
      <c r="A201" s="44"/>
      <c r="B201" s="31"/>
      <c r="C201" s="45"/>
      <c r="D201" s="32"/>
      <c r="E201" s="16">
        <f t="shared" si="1"/>
        <v>0</v>
      </c>
    </row>
    <row r="202" ht="22.5" customHeight="1">
      <c r="A202" s="44"/>
      <c r="B202" s="31"/>
      <c r="C202" s="45"/>
      <c r="D202" s="32"/>
      <c r="E202" s="16">
        <f t="shared" si="1"/>
        <v>0</v>
      </c>
    </row>
    <row r="203" ht="22.5" customHeight="1">
      <c r="A203" s="44"/>
      <c r="B203" s="31"/>
      <c r="C203" s="45"/>
      <c r="D203" s="32"/>
      <c r="E203" s="16">
        <f t="shared" si="1"/>
        <v>0</v>
      </c>
    </row>
    <row r="204" ht="22.5" customHeight="1">
      <c r="A204" s="44"/>
      <c r="B204" s="31"/>
      <c r="C204" s="45"/>
      <c r="D204" s="32"/>
      <c r="E204" s="16">
        <f t="shared" si="1"/>
        <v>0</v>
      </c>
    </row>
    <row r="205" ht="22.5" customHeight="1">
      <c r="A205" s="44"/>
      <c r="B205" s="31"/>
      <c r="C205" s="45"/>
      <c r="D205" s="32"/>
      <c r="E205" s="16">
        <f t="shared" si="1"/>
        <v>0</v>
      </c>
    </row>
    <row r="206" ht="22.5" customHeight="1">
      <c r="A206" s="44"/>
      <c r="B206" s="31"/>
      <c r="C206" s="45"/>
      <c r="D206" s="32"/>
      <c r="E206" s="16">
        <f t="shared" si="1"/>
        <v>0</v>
      </c>
    </row>
    <row r="207" ht="22.5" customHeight="1">
      <c r="A207" s="44"/>
      <c r="B207" s="31"/>
      <c r="C207" s="45"/>
      <c r="D207" s="32"/>
      <c r="E207" s="16">
        <f t="shared" si="1"/>
        <v>0</v>
      </c>
    </row>
    <row r="208" ht="22.5" customHeight="1">
      <c r="A208" s="44"/>
      <c r="B208" s="31"/>
      <c r="C208" s="45"/>
      <c r="D208" s="32"/>
      <c r="E208" s="16">
        <f t="shared" si="1"/>
        <v>0</v>
      </c>
    </row>
    <row r="209" ht="22.5" customHeight="1">
      <c r="A209" s="44"/>
      <c r="B209" s="31"/>
      <c r="C209" s="45"/>
      <c r="D209" s="32"/>
      <c r="E209" s="16">
        <f t="shared" si="1"/>
        <v>0</v>
      </c>
    </row>
    <row r="210" ht="22.5" customHeight="1">
      <c r="A210" s="44"/>
      <c r="B210" s="31"/>
      <c r="C210" s="45"/>
      <c r="D210" s="32"/>
      <c r="E210" s="16">
        <f t="shared" si="1"/>
        <v>0</v>
      </c>
    </row>
    <row r="211" ht="22.5" customHeight="1">
      <c r="A211" s="44"/>
      <c r="B211" s="31"/>
      <c r="C211" s="45"/>
      <c r="D211" s="32"/>
      <c r="E211" s="16">
        <f t="shared" si="1"/>
        <v>0</v>
      </c>
    </row>
    <row r="212" ht="22.5" customHeight="1">
      <c r="A212" s="44"/>
      <c r="B212" s="31"/>
      <c r="C212" s="45"/>
      <c r="D212" s="32"/>
      <c r="E212" s="16">
        <f t="shared" si="1"/>
        <v>0</v>
      </c>
    </row>
    <row r="213" ht="22.5" customHeight="1">
      <c r="A213" s="44"/>
      <c r="B213" s="31"/>
      <c r="C213" s="45"/>
      <c r="D213" s="32"/>
      <c r="E213" s="16">
        <f t="shared" si="1"/>
        <v>0</v>
      </c>
    </row>
    <row r="214" ht="22.5" customHeight="1">
      <c r="A214" s="44"/>
      <c r="B214" s="31"/>
      <c r="C214" s="45"/>
      <c r="D214" s="32"/>
      <c r="E214" s="16">
        <f t="shared" si="1"/>
        <v>0</v>
      </c>
    </row>
    <row r="215" ht="22.5" customHeight="1">
      <c r="A215" s="44"/>
      <c r="B215" s="31"/>
      <c r="C215" s="45"/>
      <c r="D215" s="32"/>
      <c r="E215" s="16">
        <f t="shared" si="1"/>
        <v>0</v>
      </c>
    </row>
    <row r="216" ht="22.5" customHeight="1">
      <c r="A216" s="44"/>
      <c r="B216" s="31"/>
      <c r="C216" s="45"/>
      <c r="D216" s="32"/>
      <c r="E216" s="16">
        <f t="shared" si="1"/>
        <v>0</v>
      </c>
    </row>
    <row r="217" ht="22.5" customHeight="1">
      <c r="A217" s="44"/>
      <c r="B217" s="31"/>
      <c r="C217" s="45"/>
      <c r="D217" s="32"/>
      <c r="E217" s="16">
        <f t="shared" si="1"/>
        <v>0</v>
      </c>
    </row>
    <row r="218" ht="22.5" customHeight="1">
      <c r="A218" s="44"/>
      <c r="B218" s="31"/>
      <c r="C218" s="45"/>
      <c r="D218" s="32"/>
      <c r="E218" s="16">
        <f t="shared" si="1"/>
        <v>0</v>
      </c>
    </row>
    <row r="219" ht="22.5" customHeight="1">
      <c r="A219" s="44"/>
      <c r="B219" s="31"/>
      <c r="C219" s="45"/>
      <c r="D219" s="32"/>
      <c r="E219" s="16">
        <f t="shared" si="1"/>
        <v>0</v>
      </c>
    </row>
    <row r="220" ht="22.5" customHeight="1">
      <c r="A220" s="44"/>
      <c r="B220" s="31"/>
      <c r="C220" s="45"/>
      <c r="D220" s="32"/>
      <c r="E220" s="16">
        <f t="shared" si="1"/>
        <v>0</v>
      </c>
    </row>
    <row r="221" ht="22.5" customHeight="1">
      <c r="A221" s="44"/>
      <c r="B221" s="31"/>
      <c r="C221" s="45"/>
      <c r="D221" s="32"/>
      <c r="E221" s="16">
        <f t="shared" si="1"/>
        <v>0</v>
      </c>
    </row>
    <row r="222" ht="22.5" customHeight="1">
      <c r="A222" s="44"/>
      <c r="B222" s="31"/>
      <c r="C222" s="45"/>
      <c r="D222" s="32"/>
      <c r="E222" s="16">
        <f t="shared" si="1"/>
        <v>0</v>
      </c>
    </row>
    <row r="223" ht="22.5" customHeight="1">
      <c r="A223" s="44"/>
      <c r="B223" s="31"/>
      <c r="C223" s="45"/>
      <c r="D223" s="32"/>
      <c r="E223" s="16">
        <f t="shared" si="1"/>
        <v>0</v>
      </c>
    </row>
    <row r="224" ht="22.5" customHeight="1">
      <c r="A224" s="44"/>
      <c r="B224" s="31"/>
      <c r="C224" s="45"/>
      <c r="D224" s="32"/>
      <c r="E224" s="16">
        <f t="shared" si="1"/>
        <v>0</v>
      </c>
    </row>
    <row r="225" ht="22.5" customHeight="1">
      <c r="A225" s="44"/>
      <c r="B225" s="31"/>
      <c r="C225" s="45"/>
      <c r="D225" s="32"/>
      <c r="E225" s="16">
        <f t="shared" si="1"/>
        <v>0</v>
      </c>
    </row>
    <row r="226" ht="22.5" customHeight="1">
      <c r="A226" s="44"/>
      <c r="B226" s="31"/>
      <c r="C226" s="45"/>
      <c r="D226" s="32"/>
      <c r="E226" s="16">
        <f t="shared" si="1"/>
        <v>0</v>
      </c>
    </row>
    <row r="227" ht="22.5" customHeight="1">
      <c r="A227" s="44"/>
      <c r="B227" s="31"/>
      <c r="C227" s="45"/>
      <c r="D227" s="32"/>
      <c r="E227" s="16">
        <f t="shared" si="1"/>
        <v>0</v>
      </c>
    </row>
    <row r="228" ht="22.5" customHeight="1">
      <c r="A228" s="44"/>
      <c r="B228" s="31"/>
      <c r="C228" s="45"/>
      <c r="D228" s="32"/>
      <c r="E228" s="16">
        <f t="shared" si="1"/>
        <v>0</v>
      </c>
    </row>
    <row r="229" ht="22.5" customHeight="1">
      <c r="A229" s="44"/>
      <c r="B229" s="31"/>
      <c r="C229" s="45"/>
      <c r="D229" s="32"/>
      <c r="E229" s="16">
        <f t="shared" si="1"/>
        <v>0</v>
      </c>
    </row>
    <row r="230" ht="22.5" customHeight="1">
      <c r="A230" s="44"/>
      <c r="B230" s="31"/>
      <c r="C230" s="45"/>
      <c r="D230" s="32"/>
      <c r="E230" s="16">
        <f t="shared" si="1"/>
        <v>0</v>
      </c>
    </row>
    <row r="231" ht="22.5" customHeight="1">
      <c r="A231" s="44"/>
      <c r="B231" s="31"/>
      <c r="C231" s="45"/>
      <c r="D231" s="32"/>
      <c r="E231" s="16">
        <f t="shared" si="1"/>
        <v>0</v>
      </c>
    </row>
    <row r="232" ht="22.5" customHeight="1">
      <c r="A232" s="44"/>
      <c r="B232" s="31"/>
      <c r="C232" s="45"/>
      <c r="D232" s="32"/>
      <c r="E232" s="16">
        <f t="shared" si="1"/>
        <v>0</v>
      </c>
    </row>
    <row r="233" ht="22.5" customHeight="1">
      <c r="A233" s="44"/>
      <c r="B233" s="31"/>
      <c r="C233" s="45"/>
      <c r="D233" s="32"/>
      <c r="E233" s="16">
        <f t="shared" si="1"/>
        <v>0</v>
      </c>
    </row>
    <row r="234" ht="22.5" customHeight="1">
      <c r="A234" s="44"/>
      <c r="B234" s="31"/>
      <c r="C234" s="45"/>
      <c r="D234" s="32"/>
      <c r="E234" s="16">
        <f t="shared" si="1"/>
        <v>0</v>
      </c>
    </row>
    <row r="235" ht="22.5" customHeight="1">
      <c r="A235" s="44"/>
      <c r="B235" s="31"/>
      <c r="C235" s="45"/>
      <c r="D235" s="32"/>
      <c r="E235" s="16">
        <f t="shared" si="1"/>
        <v>0</v>
      </c>
    </row>
    <row r="236" ht="22.5" customHeight="1">
      <c r="A236" s="44"/>
      <c r="B236" s="31"/>
      <c r="C236" s="45"/>
      <c r="D236" s="32"/>
      <c r="E236" s="16">
        <f t="shared" si="1"/>
        <v>0</v>
      </c>
    </row>
    <row r="237" ht="22.5" customHeight="1">
      <c r="A237" s="44"/>
      <c r="B237" s="31"/>
      <c r="C237" s="45"/>
      <c r="D237" s="32"/>
      <c r="E237" s="16">
        <f t="shared" si="1"/>
        <v>0</v>
      </c>
    </row>
    <row r="238" ht="22.5" customHeight="1">
      <c r="A238" s="44"/>
      <c r="B238" s="31"/>
      <c r="C238" s="45"/>
      <c r="D238" s="32"/>
      <c r="E238" s="16">
        <f t="shared" si="1"/>
        <v>0</v>
      </c>
    </row>
    <row r="239" ht="22.5" customHeight="1">
      <c r="A239" s="44"/>
      <c r="B239" s="31"/>
      <c r="C239" s="45"/>
      <c r="D239" s="32"/>
      <c r="E239" s="16">
        <f t="shared" si="1"/>
        <v>0</v>
      </c>
    </row>
    <row r="240" ht="22.5" customHeight="1">
      <c r="A240" s="44"/>
      <c r="B240" s="31"/>
      <c r="C240" s="45"/>
      <c r="D240" s="32"/>
      <c r="E240" s="16">
        <f t="shared" si="1"/>
        <v>0</v>
      </c>
    </row>
    <row r="241" ht="22.5" customHeight="1">
      <c r="A241" s="44"/>
      <c r="B241" s="31"/>
      <c r="C241" s="45"/>
      <c r="D241" s="32"/>
      <c r="E241" s="16">
        <f t="shared" si="1"/>
        <v>0</v>
      </c>
    </row>
    <row r="242" ht="22.5" customHeight="1">
      <c r="A242" s="44"/>
      <c r="B242" s="31"/>
      <c r="C242" s="45"/>
      <c r="D242" s="32"/>
      <c r="E242" s="16">
        <f t="shared" si="1"/>
        <v>0</v>
      </c>
    </row>
    <row r="243" ht="22.5" customHeight="1">
      <c r="A243" s="44"/>
      <c r="B243" s="31"/>
      <c r="C243" s="45"/>
      <c r="D243" s="32"/>
      <c r="E243" s="16">
        <f t="shared" si="1"/>
        <v>0</v>
      </c>
    </row>
    <row r="244" ht="22.5" customHeight="1">
      <c r="A244" s="44"/>
      <c r="B244" s="31"/>
      <c r="C244" s="45"/>
      <c r="D244" s="32"/>
      <c r="E244" s="16">
        <f t="shared" si="1"/>
        <v>0</v>
      </c>
    </row>
    <row r="245" ht="22.5" customHeight="1">
      <c r="A245" s="44"/>
      <c r="B245" s="31"/>
      <c r="C245" s="45"/>
      <c r="D245" s="32"/>
      <c r="E245" s="16">
        <f t="shared" si="1"/>
        <v>0</v>
      </c>
    </row>
    <row r="246" ht="22.5" customHeight="1">
      <c r="A246" s="44"/>
      <c r="B246" s="31"/>
      <c r="C246" s="45"/>
      <c r="D246" s="32"/>
      <c r="E246" s="16">
        <f t="shared" si="1"/>
        <v>0</v>
      </c>
    </row>
    <row r="247" ht="22.5" customHeight="1">
      <c r="A247" s="44"/>
      <c r="B247" s="31"/>
      <c r="C247" s="45"/>
      <c r="D247" s="32"/>
      <c r="E247" s="16">
        <f t="shared" si="1"/>
        <v>0</v>
      </c>
    </row>
    <row r="248" ht="22.5" customHeight="1">
      <c r="A248" s="44"/>
      <c r="B248" s="31"/>
      <c r="C248" s="45"/>
      <c r="D248" s="32"/>
      <c r="E248" s="16">
        <f t="shared" si="1"/>
        <v>0</v>
      </c>
    </row>
    <row r="249" ht="22.5" customHeight="1">
      <c r="A249" s="44"/>
      <c r="B249" s="31"/>
      <c r="C249" s="45"/>
      <c r="D249" s="32"/>
      <c r="E249" s="16">
        <f t="shared" si="1"/>
        <v>0</v>
      </c>
    </row>
    <row r="250" ht="22.5" customHeight="1">
      <c r="A250" s="44"/>
      <c r="B250" s="31"/>
      <c r="C250" s="45"/>
      <c r="D250" s="32"/>
      <c r="E250" s="16">
        <f t="shared" si="1"/>
        <v>0</v>
      </c>
    </row>
    <row r="251" ht="22.5" customHeight="1">
      <c r="A251" s="44"/>
      <c r="B251" s="31"/>
      <c r="C251" s="45"/>
      <c r="D251" s="32"/>
      <c r="E251" s="16">
        <f t="shared" si="1"/>
        <v>0</v>
      </c>
    </row>
    <row r="252" ht="22.5" customHeight="1">
      <c r="A252" s="44"/>
      <c r="B252" s="31"/>
      <c r="C252" s="45"/>
      <c r="D252" s="32"/>
      <c r="E252" s="16">
        <f t="shared" si="1"/>
        <v>0</v>
      </c>
    </row>
    <row r="253" ht="22.5" customHeight="1">
      <c r="A253" s="44"/>
      <c r="B253" s="31"/>
      <c r="C253" s="45"/>
      <c r="D253" s="32"/>
      <c r="E253" s="16">
        <f t="shared" si="1"/>
        <v>0</v>
      </c>
    </row>
    <row r="254" ht="22.5" customHeight="1">
      <c r="A254" s="44"/>
      <c r="B254" s="31"/>
      <c r="C254" s="45"/>
      <c r="D254" s="32"/>
      <c r="E254" s="16">
        <f t="shared" si="1"/>
        <v>0</v>
      </c>
    </row>
    <row r="255" ht="22.5" customHeight="1">
      <c r="A255" s="44"/>
      <c r="B255" s="31"/>
      <c r="C255" s="45"/>
      <c r="D255" s="32"/>
      <c r="E255" s="16">
        <f t="shared" si="1"/>
        <v>0</v>
      </c>
    </row>
    <row r="256" ht="22.5" customHeight="1">
      <c r="A256" s="44"/>
      <c r="B256" s="31"/>
      <c r="C256" s="45"/>
      <c r="D256" s="32"/>
      <c r="E256" s="16">
        <f t="shared" si="1"/>
        <v>0</v>
      </c>
    </row>
    <row r="257" ht="22.5" customHeight="1">
      <c r="A257" s="44"/>
      <c r="B257" s="31"/>
      <c r="C257" s="45"/>
      <c r="D257" s="32"/>
      <c r="E257" s="16">
        <f t="shared" si="1"/>
        <v>0</v>
      </c>
    </row>
    <row r="258" ht="22.5" customHeight="1">
      <c r="A258" s="44"/>
      <c r="B258" s="31"/>
      <c r="C258" s="45"/>
      <c r="D258" s="32"/>
      <c r="E258" s="16">
        <f t="shared" si="1"/>
        <v>0</v>
      </c>
    </row>
    <row r="259" ht="22.5" customHeight="1">
      <c r="A259" s="44"/>
      <c r="B259" s="31"/>
      <c r="C259" s="45"/>
      <c r="D259" s="32"/>
      <c r="E259" s="16">
        <f t="shared" si="1"/>
        <v>0</v>
      </c>
    </row>
    <row r="260" ht="22.5" customHeight="1">
      <c r="A260" s="44"/>
      <c r="B260" s="31"/>
      <c r="C260" s="45"/>
      <c r="D260" s="32"/>
      <c r="E260" s="16">
        <f t="shared" si="1"/>
        <v>0</v>
      </c>
    </row>
    <row r="261" ht="22.5" customHeight="1">
      <c r="A261" s="44"/>
      <c r="B261" s="31"/>
      <c r="C261" s="45"/>
      <c r="D261" s="32"/>
      <c r="E261" s="16">
        <f t="shared" si="1"/>
        <v>0</v>
      </c>
    </row>
    <row r="262" ht="22.5" customHeight="1">
      <c r="A262" s="44"/>
      <c r="B262" s="31"/>
      <c r="C262" s="45"/>
      <c r="D262" s="32"/>
      <c r="E262" s="16">
        <f t="shared" si="1"/>
        <v>0</v>
      </c>
    </row>
    <row r="263" ht="22.5" customHeight="1">
      <c r="A263" s="44"/>
      <c r="B263" s="31"/>
      <c r="C263" s="45"/>
      <c r="D263" s="32"/>
      <c r="E263" s="16">
        <f t="shared" si="1"/>
        <v>0</v>
      </c>
    </row>
    <row r="264" ht="22.5" customHeight="1">
      <c r="A264" s="44"/>
      <c r="B264" s="31"/>
      <c r="C264" s="45"/>
      <c r="D264" s="32"/>
      <c r="E264" s="16">
        <f t="shared" si="1"/>
        <v>0</v>
      </c>
    </row>
    <row r="265" ht="22.5" customHeight="1">
      <c r="A265" s="44"/>
      <c r="B265" s="31"/>
      <c r="C265" s="45"/>
      <c r="D265" s="32"/>
      <c r="E265" s="16">
        <f t="shared" si="1"/>
        <v>0</v>
      </c>
    </row>
    <row r="266" ht="22.5" customHeight="1">
      <c r="A266" s="44"/>
      <c r="B266" s="31"/>
      <c r="C266" s="45"/>
      <c r="D266" s="32"/>
      <c r="E266" s="16">
        <f t="shared" si="1"/>
        <v>0</v>
      </c>
    </row>
    <row r="267" ht="22.5" customHeight="1">
      <c r="A267" s="44"/>
      <c r="B267" s="31"/>
      <c r="C267" s="45"/>
      <c r="D267" s="32"/>
      <c r="E267" s="16">
        <f t="shared" si="1"/>
        <v>0</v>
      </c>
    </row>
    <row r="268" ht="22.5" customHeight="1">
      <c r="A268" s="44"/>
      <c r="B268" s="31"/>
      <c r="C268" s="45"/>
      <c r="D268" s="32"/>
      <c r="E268" s="16">
        <f t="shared" si="1"/>
        <v>0</v>
      </c>
    </row>
    <row r="269" ht="22.5" customHeight="1">
      <c r="A269" s="44"/>
      <c r="B269" s="31"/>
      <c r="C269" s="45"/>
      <c r="D269" s="32"/>
      <c r="E269" s="16">
        <f t="shared" si="1"/>
        <v>0</v>
      </c>
    </row>
    <row r="270" ht="22.5" customHeight="1">
      <c r="A270" s="44"/>
      <c r="B270" s="31"/>
      <c r="C270" s="45"/>
      <c r="D270" s="32"/>
      <c r="E270" s="16">
        <f t="shared" si="1"/>
        <v>0</v>
      </c>
    </row>
    <row r="271" ht="22.5" customHeight="1">
      <c r="A271" s="44"/>
      <c r="B271" s="31"/>
      <c r="C271" s="45"/>
      <c r="D271" s="32"/>
      <c r="E271" s="16">
        <f t="shared" si="1"/>
        <v>0</v>
      </c>
    </row>
    <row r="272" ht="22.5" customHeight="1">
      <c r="A272" s="44"/>
      <c r="B272" s="31"/>
      <c r="C272" s="45"/>
      <c r="D272" s="32"/>
      <c r="E272" s="16">
        <f t="shared" si="1"/>
        <v>0</v>
      </c>
    </row>
    <row r="273" ht="22.5" customHeight="1">
      <c r="A273" s="44"/>
      <c r="B273" s="31"/>
      <c r="C273" s="45"/>
      <c r="D273" s="32"/>
      <c r="E273" s="16">
        <f t="shared" si="1"/>
        <v>0</v>
      </c>
    </row>
    <row r="274" ht="22.5" customHeight="1">
      <c r="A274" s="44"/>
      <c r="B274" s="31"/>
      <c r="C274" s="45"/>
      <c r="D274" s="32"/>
      <c r="E274" s="16">
        <f t="shared" si="1"/>
        <v>0</v>
      </c>
    </row>
    <row r="275" ht="22.5" customHeight="1">
      <c r="A275" s="44"/>
      <c r="B275" s="31"/>
      <c r="C275" s="45"/>
      <c r="D275" s="32"/>
      <c r="E275" s="16">
        <f t="shared" si="1"/>
        <v>0</v>
      </c>
    </row>
    <row r="276" ht="22.5" customHeight="1">
      <c r="A276" s="44"/>
      <c r="B276" s="31"/>
      <c r="C276" s="45"/>
      <c r="D276" s="32"/>
      <c r="E276" s="16">
        <f t="shared" si="1"/>
        <v>0</v>
      </c>
    </row>
    <row r="277" ht="22.5" customHeight="1">
      <c r="A277" s="44"/>
      <c r="B277" s="31"/>
      <c r="C277" s="45"/>
      <c r="D277" s="32"/>
      <c r="E277" s="16">
        <f t="shared" si="1"/>
        <v>0</v>
      </c>
    </row>
    <row r="278" ht="22.5" customHeight="1">
      <c r="A278" s="44"/>
      <c r="B278" s="31"/>
      <c r="C278" s="45"/>
      <c r="D278" s="32"/>
      <c r="E278" s="16">
        <f t="shared" si="1"/>
        <v>0</v>
      </c>
    </row>
    <row r="279" ht="22.5" customHeight="1">
      <c r="A279" s="44"/>
      <c r="B279" s="31"/>
      <c r="C279" s="45"/>
      <c r="D279" s="32"/>
      <c r="E279" s="16">
        <f t="shared" si="1"/>
        <v>0</v>
      </c>
    </row>
    <row r="280" ht="22.5" customHeight="1">
      <c r="A280" s="44"/>
      <c r="B280" s="31"/>
      <c r="C280" s="45"/>
      <c r="D280" s="32"/>
      <c r="E280" s="16">
        <f t="shared" si="1"/>
        <v>0</v>
      </c>
    </row>
    <row r="281" ht="22.5" customHeight="1">
      <c r="A281" s="44"/>
      <c r="B281" s="31"/>
      <c r="C281" s="45"/>
      <c r="D281" s="32"/>
      <c r="E281" s="16">
        <f t="shared" si="1"/>
        <v>0</v>
      </c>
    </row>
    <row r="282" ht="22.5" customHeight="1">
      <c r="A282" s="44"/>
      <c r="B282" s="31"/>
      <c r="C282" s="45"/>
      <c r="D282" s="32"/>
      <c r="E282" s="16">
        <f t="shared" si="1"/>
        <v>0</v>
      </c>
    </row>
    <row r="283" ht="22.5" customHeight="1">
      <c r="A283" s="44"/>
      <c r="B283" s="31"/>
      <c r="C283" s="45"/>
      <c r="D283" s="32"/>
      <c r="E283" s="16">
        <f t="shared" si="1"/>
        <v>0</v>
      </c>
    </row>
    <row r="284" ht="22.5" customHeight="1">
      <c r="A284" s="44"/>
      <c r="B284" s="31"/>
      <c r="C284" s="45"/>
      <c r="D284" s="32"/>
      <c r="E284" s="16">
        <f t="shared" si="1"/>
        <v>0</v>
      </c>
    </row>
    <row r="285" ht="22.5" customHeight="1">
      <c r="A285" s="44"/>
      <c r="B285" s="31"/>
      <c r="C285" s="45"/>
      <c r="D285" s="32"/>
      <c r="E285" s="16">
        <f t="shared" si="1"/>
        <v>0</v>
      </c>
    </row>
    <row r="286" ht="22.5" customHeight="1">
      <c r="A286" s="44"/>
      <c r="B286" s="31"/>
      <c r="C286" s="45"/>
      <c r="D286" s="32"/>
      <c r="E286" s="16">
        <f t="shared" si="1"/>
        <v>0</v>
      </c>
    </row>
    <row r="287" ht="22.5" customHeight="1">
      <c r="A287" s="44"/>
      <c r="B287" s="31"/>
      <c r="C287" s="45"/>
      <c r="D287" s="32"/>
      <c r="E287" s="16">
        <f t="shared" si="1"/>
        <v>0</v>
      </c>
    </row>
    <row r="288" ht="22.5" customHeight="1">
      <c r="A288" s="44"/>
      <c r="B288" s="31"/>
      <c r="C288" s="45"/>
      <c r="D288" s="32"/>
      <c r="E288" s="16">
        <f t="shared" si="1"/>
        <v>0</v>
      </c>
    </row>
    <row r="289" ht="22.5" customHeight="1">
      <c r="A289" s="44"/>
      <c r="B289" s="31"/>
      <c r="C289" s="45"/>
      <c r="D289" s="32"/>
      <c r="E289" s="16">
        <f t="shared" si="1"/>
        <v>0</v>
      </c>
    </row>
    <row r="290" ht="22.5" customHeight="1">
      <c r="A290" s="44"/>
      <c r="B290" s="31"/>
      <c r="C290" s="45"/>
      <c r="D290" s="32"/>
      <c r="E290" s="16">
        <f t="shared" si="1"/>
        <v>0</v>
      </c>
    </row>
    <row r="291" ht="22.5" customHeight="1">
      <c r="A291" s="44"/>
      <c r="B291" s="31"/>
      <c r="C291" s="45"/>
      <c r="D291" s="32"/>
      <c r="E291" s="16">
        <f t="shared" si="1"/>
        <v>0</v>
      </c>
    </row>
    <row r="292" ht="22.5" customHeight="1">
      <c r="A292" s="44"/>
      <c r="B292" s="31"/>
      <c r="C292" s="45"/>
      <c r="D292" s="32"/>
      <c r="E292" s="16">
        <f t="shared" si="1"/>
        <v>0</v>
      </c>
    </row>
    <row r="293" ht="22.5" customHeight="1">
      <c r="A293" s="44"/>
      <c r="B293" s="31"/>
      <c r="C293" s="45"/>
      <c r="D293" s="32"/>
      <c r="E293" s="16">
        <f t="shared" si="1"/>
        <v>0</v>
      </c>
    </row>
    <row r="294" ht="22.5" customHeight="1">
      <c r="A294" s="44"/>
      <c r="B294" s="31"/>
      <c r="C294" s="45"/>
      <c r="D294" s="32"/>
      <c r="E294" s="16">
        <f t="shared" si="1"/>
        <v>0</v>
      </c>
    </row>
    <row r="295" ht="22.5" customHeight="1">
      <c r="A295" s="44"/>
      <c r="B295" s="31"/>
      <c r="C295" s="45"/>
      <c r="D295" s="32"/>
      <c r="E295" s="16">
        <f t="shared" si="1"/>
        <v>0</v>
      </c>
    </row>
    <row r="296" ht="22.5" customHeight="1">
      <c r="A296" s="44"/>
      <c r="B296" s="31"/>
      <c r="C296" s="45"/>
      <c r="D296" s="32"/>
      <c r="E296" s="16">
        <f t="shared" si="1"/>
        <v>0</v>
      </c>
    </row>
    <row r="297" ht="22.5" customHeight="1">
      <c r="A297" s="44"/>
      <c r="B297" s="31"/>
      <c r="C297" s="45"/>
      <c r="D297" s="32"/>
      <c r="E297" s="16">
        <f t="shared" si="1"/>
        <v>0</v>
      </c>
    </row>
    <row r="298" ht="22.5" customHeight="1">
      <c r="A298" s="44"/>
      <c r="B298" s="31"/>
      <c r="C298" s="45"/>
      <c r="D298" s="32"/>
      <c r="E298" s="16">
        <f t="shared" si="1"/>
        <v>0</v>
      </c>
    </row>
    <row r="299" ht="22.5" customHeight="1">
      <c r="A299" s="44"/>
      <c r="B299" s="31"/>
      <c r="C299" s="45"/>
      <c r="D299" s="32"/>
      <c r="E299" s="16">
        <f t="shared" si="1"/>
        <v>0</v>
      </c>
    </row>
    <row r="300" ht="22.5" customHeight="1">
      <c r="A300" s="44"/>
      <c r="B300" s="31"/>
      <c r="C300" s="45"/>
      <c r="D300" s="32"/>
      <c r="E300" s="16">
        <f t="shared" si="1"/>
        <v>0</v>
      </c>
    </row>
    <row r="301" ht="22.5" customHeight="1">
      <c r="A301" s="44"/>
      <c r="B301" s="31"/>
      <c r="C301" s="45"/>
      <c r="D301" s="32"/>
      <c r="E301" s="16">
        <f t="shared" si="1"/>
        <v>0</v>
      </c>
    </row>
    <row r="302" ht="22.5" customHeight="1">
      <c r="A302" s="44"/>
      <c r="B302" s="31"/>
      <c r="C302" s="45"/>
      <c r="D302" s="32"/>
      <c r="E302" s="16">
        <f t="shared" si="1"/>
        <v>0</v>
      </c>
    </row>
    <row r="303" ht="22.5" customHeight="1">
      <c r="A303" s="44"/>
      <c r="B303" s="31"/>
      <c r="C303" s="45"/>
      <c r="D303" s="32"/>
      <c r="E303" s="16">
        <f t="shared" si="1"/>
        <v>0</v>
      </c>
    </row>
    <row r="304" ht="22.5" customHeight="1">
      <c r="A304" s="44"/>
      <c r="B304" s="31"/>
      <c r="C304" s="45"/>
      <c r="D304" s="32"/>
      <c r="E304" s="16">
        <f t="shared" si="1"/>
        <v>0</v>
      </c>
    </row>
    <row r="305" ht="22.5" customHeight="1">
      <c r="A305" s="44"/>
      <c r="B305" s="31"/>
      <c r="C305" s="45"/>
      <c r="D305" s="32"/>
      <c r="E305" s="16">
        <f t="shared" si="1"/>
        <v>0</v>
      </c>
    </row>
    <row r="306" ht="22.5" customHeight="1">
      <c r="A306" s="44"/>
      <c r="B306" s="31"/>
      <c r="C306" s="45"/>
      <c r="D306" s="32"/>
      <c r="E306" s="16">
        <f t="shared" si="1"/>
        <v>0</v>
      </c>
    </row>
    <row r="307" ht="22.5" customHeight="1">
      <c r="A307" s="44"/>
      <c r="B307" s="31"/>
      <c r="C307" s="45"/>
      <c r="D307" s="32"/>
      <c r="E307" s="16">
        <f t="shared" si="1"/>
        <v>0</v>
      </c>
    </row>
    <row r="308" ht="22.5" customHeight="1">
      <c r="A308" s="44"/>
      <c r="B308" s="31"/>
      <c r="C308" s="45"/>
      <c r="D308" s="32"/>
      <c r="E308" s="16">
        <f t="shared" si="1"/>
        <v>0</v>
      </c>
    </row>
    <row r="309" ht="22.5" customHeight="1">
      <c r="A309" s="44"/>
      <c r="B309" s="31"/>
      <c r="C309" s="45"/>
      <c r="D309" s="32"/>
      <c r="E309" s="16">
        <f t="shared" si="1"/>
        <v>0</v>
      </c>
    </row>
    <row r="310" ht="22.5" customHeight="1">
      <c r="A310" s="44"/>
      <c r="B310" s="31"/>
      <c r="C310" s="45"/>
      <c r="D310" s="32"/>
      <c r="E310" s="16">
        <f t="shared" si="1"/>
        <v>0</v>
      </c>
    </row>
    <row r="311" ht="22.5" customHeight="1">
      <c r="A311" s="44"/>
      <c r="B311" s="31"/>
      <c r="C311" s="45"/>
      <c r="D311" s="32"/>
      <c r="E311" s="16">
        <f t="shared" si="1"/>
        <v>0</v>
      </c>
    </row>
    <row r="312" ht="22.5" customHeight="1">
      <c r="A312" s="44"/>
      <c r="B312" s="31"/>
      <c r="C312" s="45"/>
      <c r="D312" s="32"/>
      <c r="E312" s="16">
        <f t="shared" si="1"/>
        <v>0</v>
      </c>
    </row>
    <row r="313" ht="22.5" customHeight="1">
      <c r="A313" s="44"/>
      <c r="B313" s="31"/>
      <c r="C313" s="45"/>
      <c r="D313" s="32"/>
      <c r="E313" s="16">
        <f t="shared" si="1"/>
        <v>0</v>
      </c>
    </row>
    <row r="314" ht="22.5" customHeight="1">
      <c r="A314" s="44"/>
      <c r="B314" s="31"/>
      <c r="C314" s="45"/>
      <c r="D314" s="32"/>
      <c r="E314" s="16">
        <f t="shared" si="1"/>
        <v>0</v>
      </c>
    </row>
    <row r="315" ht="22.5" customHeight="1">
      <c r="A315" s="44"/>
      <c r="B315" s="31"/>
      <c r="C315" s="45"/>
      <c r="D315" s="32"/>
      <c r="E315" s="16">
        <f t="shared" si="1"/>
        <v>0</v>
      </c>
    </row>
    <row r="316" ht="22.5" customHeight="1">
      <c r="A316" s="44"/>
      <c r="B316" s="31"/>
      <c r="C316" s="45"/>
      <c r="D316" s="32"/>
      <c r="E316" s="16">
        <f t="shared" si="1"/>
        <v>0</v>
      </c>
    </row>
    <row r="317" ht="22.5" customHeight="1">
      <c r="A317" s="44"/>
      <c r="B317" s="31"/>
      <c r="C317" s="45"/>
      <c r="D317" s="32"/>
      <c r="E317" s="16">
        <f t="shared" si="1"/>
        <v>0</v>
      </c>
    </row>
    <row r="318" ht="22.5" customHeight="1">
      <c r="A318" s="44"/>
      <c r="B318" s="31"/>
      <c r="C318" s="45"/>
      <c r="D318" s="32"/>
      <c r="E318" s="16">
        <f t="shared" si="1"/>
        <v>0</v>
      </c>
    </row>
    <row r="319" ht="22.5" customHeight="1">
      <c r="A319" s="44"/>
      <c r="B319" s="31"/>
      <c r="C319" s="45"/>
      <c r="D319" s="32"/>
      <c r="E319" s="16">
        <f t="shared" si="1"/>
        <v>0</v>
      </c>
    </row>
    <row r="320" ht="22.5" customHeight="1">
      <c r="A320" s="44"/>
      <c r="B320" s="31"/>
      <c r="C320" s="45"/>
      <c r="D320" s="32"/>
      <c r="E320" s="16">
        <f t="shared" si="1"/>
        <v>0</v>
      </c>
    </row>
    <row r="321" ht="22.5" customHeight="1">
      <c r="A321" s="44"/>
      <c r="B321" s="31"/>
      <c r="C321" s="45"/>
      <c r="D321" s="32"/>
      <c r="E321" s="16">
        <f t="shared" si="1"/>
        <v>0</v>
      </c>
    </row>
    <row r="322" ht="22.5" customHeight="1">
      <c r="A322" s="44"/>
      <c r="B322" s="31"/>
      <c r="C322" s="45"/>
      <c r="D322" s="32"/>
      <c r="E322" s="16">
        <f t="shared" si="1"/>
        <v>0</v>
      </c>
    </row>
    <row r="323" ht="22.5" customHeight="1">
      <c r="A323" s="44"/>
      <c r="B323" s="31"/>
      <c r="C323" s="45"/>
      <c r="D323" s="32"/>
      <c r="E323" s="16">
        <f t="shared" si="1"/>
        <v>0</v>
      </c>
    </row>
    <row r="324" ht="22.5" customHeight="1">
      <c r="A324" s="44"/>
      <c r="B324" s="31"/>
      <c r="C324" s="45"/>
      <c r="D324" s="32"/>
      <c r="E324" s="16">
        <f t="shared" si="1"/>
        <v>0</v>
      </c>
    </row>
    <row r="325" ht="22.5" customHeight="1">
      <c r="A325" s="44"/>
      <c r="B325" s="31"/>
      <c r="C325" s="45"/>
      <c r="D325" s="32"/>
      <c r="E325" s="16">
        <f t="shared" si="1"/>
        <v>0</v>
      </c>
    </row>
    <row r="326" ht="22.5" customHeight="1">
      <c r="A326" s="44"/>
      <c r="B326" s="31"/>
      <c r="C326" s="45"/>
      <c r="D326" s="32"/>
      <c r="E326" s="16">
        <f t="shared" si="1"/>
        <v>0</v>
      </c>
    </row>
    <row r="327" ht="22.5" customHeight="1">
      <c r="A327" s="44"/>
      <c r="B327" s="31"/>
      <c r="C327" s="45"/>
      <c r="D327" s="32"/>
      <c r="E327" s="16">
        <f t="shared" si="1"/>
        <v>0</v>
      </c>
    </row>
    <row r="328" ht="22.5" customHeight="1">
      <c r="A328" s="44"/>
      <c r="B328" s="31"/>
      <c r="C328" s="45"/>
      <c r="D328" s="32"/>
      <c r="E328" s="16">
        <f t="shared" si="1"/>
        <v>0</v>
      </c>
    </row>
    <row r="329" ht="22.5" customHeight="1">
      <c r="A329" s="44"/>
      <c r="B329" s="31"/>
      <c r="C329" s="45"/>
      <c r="D329" s="32"/>
      <c r="E329" s="16">
        <f t="shared" si="1"/>
        <v>0</v>
      </c>
    </row>
    <row r="330" ht="22.5" customHeight="1">
      <c r="A330" s="44"/>
      <c r="B330" s="31"/>
      <c r="C330" s="45"/>
      <c r="D330" s="32"/>
      <c r="E330" s="16">
        <f t="shared" si="1"/>
        <v>0</v>
      </c>
    </row>
    <row r="331" ht="22.5" customHeight="1">
      <c r="A331" s="44"/>
      <c r="B331" s="31"/>
      <c r="C331" s="45"/>
      <c r="D331" s="32"/>
      <c r="E331" s="16">
        <f t="shared" si="1"/>
        <v>0</v>
      </c>
    </row>
    <row r="332" ht="22.5" customHeight="1">
      <c r="A332" s="44"/>
      <c r="B332" s="31"/>
      <c r="C332" s="45"/>
      <c r="D332" s="32"/>
      <c r="E332" s="16">
        <f t="shared" si="1"/>
        <v>0</v>
      </c>
    </row>
    <row r="333" ht="22.5" customHeight="1">
      <c r="A333" s="44"/>
      <c r="B333" s="31"/>
      <c r="C333" s="45"/>
      <c r="D333" s="32"/>
      <c r="E333" s="16">
        <f t="shared" si="1"/>
        <v>0</v>
      </c>
    </row>
    <row r="334" ht="22.5" customHeight="1">
      <c r="A334" s="44"/>
      <c r="B334" s="31"/>
      <c r="C334" s="45"/>
      <c r="D334" s="32"/>
      <c r="E334" s="16">
        <f t="shared" si="1"/>
        <v>0</v>
      </c>
    </row>
    <row r="335" ht="22.5" customHeight="1">
      <c r="A335" s="44"/>
      <c r="B335" s="31"/>
      <c r="C335" s="45"/>
      <c r="D335" s="32"/>
      <c r="E335" s="16">
        <f t="shared" si="1"/>
        <v>0</v>
      </c>
    </row>
    <row r="336" ht="22.5" customHeight="1">
      <c r="A336" s="44"/>
      <c r="B336" s="31"/>
      <c r="C336" s="45"/>
      <c r="D336" s="32"/>
      <c r="E336" s="16">
        <f t="shared" si="1"/>
        <v>0</v>
      </c>
    </row>
    <row r="337" ht="22.5" customHeight="1">
      <c r="A337" s="44"/>
      <c r="B337" s="31"/>
      <c r="C337" s="45"/>
      <c r="D337" s="32"/>
      <c r="E337" s="16">
        <f t="shared" si="1"/>
        <v>0</v>
      </c>
    </row>
    <row r="338" ht="22.5" customHeight="1">
      <c r="A338" s="44"/>
      <c r="B338" s="31"/>
      <c r="C338" s="45"/>
      <c r="D338" s="32"/>
      <c r="E338" s="16">
        <f t="shared" si="1"/>
        <v>0</v>
      </c>
    </row>
    <row r="339" ht="22.5" customHeight="1">
      <c r="A339" s="44"/>
      <c r="B339" s="31"/>
      <c r="C339" s="45"/>
      <c r="D339" s="32"/>
      <c r="E339" s="16">
        <f t="shared" si="1"/>
        <v>0</v>
      </c>
    </row>
    <row r="340" ht="22.5" customHeight="1">
      <c r="A340" s="44"/>
      <c r="B340" s="31"/>
      <c r="C340" s="45"/>
      <c r="D340" s="32"/>
      <c r="E340" s="16">
        <f t="shared" si="1"/>
        <v>0</v>
      </c>
    </row>
    <row r="341" ht="22.5" customHeight="1">
      <c r="A341" s="44"/>
      <c r="B341" s="31"/>
      <c r="C341" s="45"/>
      <c r="D341" s="32"/>
      <c r="E341" s="16">
        <f t="shared" si="1"/>
        <v>0</v>
      </c>
    </row>
    <row r="342" ht="22.5" customHeight="1">
      <c r="A342" s="44"/>
      <c r="B342" s="31"/>
      <c r="C342" s="45"/>
      <c r="D342" s="32"/>
      <c r="E342" s="16">
        <f t="shared" si="1"/>
        <v>0</v>
      </c>
    </row>
    <row r="343" ht="22.5" customHeight="1">
      <c r="A343" s="44"/>
      <c r="B343" s="31"/>
      <c r="C343" s="45"/>
      <c r="D343" s="32"/>
      <c r="E343" s="16">
        <f t="shared" si="1"/>
        <v>0</v>
      </c>
    </row>
    <row r="344" ht="22.5" customHeight="1">
      <c r="A344" s="44"/>
      <c r="B344" s="31"/>
      <c r="C344" s="45"/>
      <c r="D344" s="32"/>
      <c r="E344" s="16">
        <f t="shared" si="1"/>
        <v>0</v>
      </c>
    </row>
    <row r="345" ht="22.5" customHeight="1">
      <c r="A345" s="44"/>
      <c r="B345" s="31"/>
      <c r="C345" s="45"/>
      <c r="D345" s="32"/>
      <c r="E345" s="16">
        <f t="shared" si="1"/>
        <v>0</v>
      </c>
    </row>
    <row r="346" ht="22.5" customHeight="1">
      <c r="A346" s="44"/>
      <c r="B346" s="31"/>
      <c r="C346" s="45"/>
      <c r="D346" s="32"/>
      <c r="E346" s="16">
        <f t="shared" si="1"/>
        <v>0</v>
      </c>
    </row>
    <row r="347" ht="22.5" customHeight="1">
      <c r="A347" s="44"/>
      <c r="B347" s="31"/>
      <c r="C347" s="45"/>
      <c r="D347" s="32"/>
      <c r="E347" s="16">
        <f t="shared" si="1"/>
        <v>0</v>
      </c>
    </row>
    <row r="348" ht="22.5" customHeight="1">
      <c r="A348" s="44"/>
      <c r="B348" s="31"/>
      <c r="C348" s="45"/>
      <c r="D348" s="32"/>
      <c r="E348" s="16">
        <f t="shared" si="1"/>
        <v>0</v>
      </c>
    </row>
    <row r="349" ht="22.5" customHeight="1">
      <c r="A349" s="44"/>
      <c r="B349" s="31"/>
      <c r="C349" s="45"/>
      <c r="D349" s="32"/>
      <c r="E349" s="16">
        <f t="shared" si="1"/>
        <v>0</v>
      </c>
    </row>
    <row r="350" ht="22.5" customHeight="1">
      <c r="A350" s="44"/>
      <c r="B350" s="31"/>
      <c r="C350" s="45"/>
      <c r="D350" s="32"/>
      <c r="E350" s="16">
        <f t="shared" si="1"/>
        <v>0</v>
      </c>
    </row>
    <row r="351" ht="22.5" customHeight="1">
      <c r="A351" s="44"/>
      <c r="B351" s="31"/>
      <c r="C351" s="45"/>
      <c r="D351" s="32"/>
      <c r="E351" s="16">
        <f t="shared" si="1"/>
        <v>0</v>
      </c>
    </row>
    <row r="352" ht="22.5" customHeight="1">
      <c r="A352" s="44"/>
      <c r="B352" s="31"/>
      <c r="C352" s="45"/>
      <c r="D352" s="32"/>
      <c r="E352" s="16">
        <f t="shared" si="1"/>
        <v>0</v>
      </c>
    </row>
    <row r="353" ht="22.5" customHeight="1">
      <c r="A353" s="44"/>
      <c r="B353" s="31"/>
      <c r="C353" s="45"/>
      <c r="D353" s="32"/>
      <c r="E353" s="16">
        <f t="shared" si="1"/>
        <v>0</v>
      </c>
    </row>
    <row r="354" ht="22.5" customHeight="1">
      <c r="A354" s="44"/>
      <c r="B354" s="31"/>
      <c r="C354" s="45"/>
      <c r="D354" s="32"/>
      <c r="E354" s="16">
        <f t="shared" si="1"/>
        <v>0</v>
      </c>
    </row>
    <row r="355" ht="22.5" customHeight="1">
      <c r="A355" s="44"/>
      <c r="B355" s="31"/>
      <c r="C355" s="45"/>
      <c r="D355" s="32"/>
      <c r="E355" s="16">
        <f t="shared" si="1"/>
        <v>0</v>
      </c>
    </row>
    <row r="356" ht="22.5" customHeight="1">
      <c r="A356" s="44"/>
      <c r="B356" s="31"/>
      <c r="C356" s="45"/>
      <c r="D356" s="32"/>
      <c r="E356" s="16">
        <f t="shared" si="1"/>
        <v>0</v>
      </c>
    </row>
    <row r="357" ht="22.5" customHeight="1">
      <c r="A357" s="44"/>
      <c r="B357" s="31"/>
      <c r="C357" s="45"/>
      <c r="D357" s="32"/>
      <c r="E357" s="16">
        <f t="shared" si="1"/>
        <v>0</v>
      </c>
    </row>
    <row r="358" ht="22.5" customHeight="1">
      <c r="A358" s="44"/>
      <c r="B358" s="31"/>
      <c r="C358" s="45"/>
      <c r="D358" s="32"/>
      <c r="E358" s="16">
        <f t="shared" si="1"/>
        <v>0</v>
      </c>
    </row>
    <row r="359" ht="22.5" customHeight="1">
      <c r="A359" s="44"/>
      <c r="B359" s="31"/>
      <c r="C359" s="45"/>
      <c r="D359" s="32"/>
      <c r="E359" s="16">
        <f t="shared" si="1"/>
        <v>0</v>
      </c>
    </row>
    <row r="360" ht="22.5" customHeight="1">
      <c r="A360" s="44"/>
      <c r="B360" s="31"/>
      <c r="C360" s="45"/>
      <c r="D360" s="32"/>
      <c r="E360" s="16">
        <f t="shared" si="1"/>
        <v>0</v>
      </c>
    </row>
    <row r="361" ht="22.5" customHeight="1">
      <c r="A361" s="44"/>
      <c r="B361" s="31"/>
      <c r="C361" s="45"/>
      <c r="D361" s="32"/>
      <c r="E361" s="16">
        <f t="shared" si="1"/>
        <v>0</v>
      </c>
    </row>
    <row r="362" ht="22.5" customHeight="1">
      <c r="A362" s="44"/>
      <c r="B362" s="31"/>
      <c r="C362" s="45"/>
      <c r="D362" s="32"/>
      <c r="E362" s="16">
        <f t="shared" si="1"/>
        <v>0</v>
      </c>
    </row>
    <row r="363" ht="22.5" customHeight="1">
      <c r="A363" s="44"/>
      <c r="B363" s="31"/>
      <c r="C363" s="45"/>
      <c r="D363" s="32"/>
      <c r="E363" s="16">
        <f t="shared" si="1"/>
        <v>0</v>
      </c>
    </row>
    <row r="364" ht="22.5" customHeight="1">
      <c r="A364" s="44"/>
      <c r="B364" s="31"/>
      <c r="C364" s="45"/>
      <c r="D364" s="32"/>
      <c r="E364" s="16">
        <f t="shared" si="1"/>
        <v>0</v>
      </c>
    </row>
    <row r="365" ht="22.5" customHeight="1">
      <c r="A365" s="44"/>
      <c r="B365" s="31"/>
      <c r="C365" s="45"/>
      <c r="D365" s="32"/>
      <c r="E365" s="16">
        <f t="shared" si="1"/>
        <v>0</v>
      </c>
    </row>
    <row r="366" ht="22.5" customHeight="1">
      <c r="A366" s="44"/>
      <c r="B366" s="31"/>
      <c r="C366" s="45"/>
      <c r="D366" s="32"/>
      <c r="E366" s="16">
        <f t="shared" si="1"/>
        <v>0</v>
      </c>
    </row>
    <row r="367" ht="22.5" customHeight="1">
      <c r="A367" s="44"/>
      <c r="B367" s="31"/>
      <c r="C367" s="45"/>
      <c r="D367" s="32"/>
      <c r="E367" s="16">
        <f t="shared" si="1"/>
        <v>0</v>
      </c>
    </row>
    <row r="368" ht="22.5" customHeight="1">
      <c r="A368" s="44"/>
      <c r="B368" s="31"/>
      <c r="C368" s="45"/>
      <c r="D368" s="32"/>
      <c r="E368" s="16">
        <f t="shared" si="1"/>
        <v>0</v>
      </c>
    </row>
    <row r="369" ht="22.5" customHeight="1">
      <c r="A369" s="44"/>
      <c r="B369" s="31"/>
      <c r="C369" s="45"/>
      <c r="D369" s="32"/>
      <c r="E369" s="16">
        <f t="shared" si="1"/>
        <v>0</v>
      </c>
    </row>
    <row r="370" ht="22.5" customHeight="1">
      <c r="A370" s="44"/>
      <c r="B370" s="31"/>
      <c r="C370" s="45"/>
      <c r="D370" s="32"/>
      <c r="E370" s="16">
        <f t="shared" si="1"/>
        <v>0</v>
      </c>
    </row>
    <row r="371" ht="22.5" customHeight="1">
      <c r="A371" s="44"/>
      <c r="B371" s="31"/>
      <c r="C371" s="45"/>
      <c r="D371" s="32"/>
      <c r="E371" s="16">
        <f t="shared" si="1"/>
        <v>0</v>
      </c>
    </row>
    <row r="372" ht="22.5" customHeight="1">
      <c r="A372" s="44"/>
      <c r="B372" s="31"/>
      <c r="C372" s="45"/>
      <c r="D372" s="32"/>
      <c r="E372" s="16">
        <f t="shared" si="1"/>
        <v>0</v>
      </c>
    </row>
    <row r="373" ht="22.5" customHeight="1">
      <c r="A373" s="44"/>
      <c r="B373" s="31"/>
      <c r="C373" s="45"/>
      <c r="D373" s="32"/>
      <c r="E373" s="16">
        <f t="shared" si="1"/>
        <v>0</v>
      </c>
    </row>
    <row r="374" ht="22.5" customHeight="1">
      <c r="A374" s="44"/>
      <c r="B374" s="31"/>
      <c r="C374" s="45"/>
      <c r="D374" s="32"/>
      <c r="E374" s="16">
        <f t="shared" si="1"/>
        <v>0</v>
      </c>
    </row>
    <row r="375" ht="22.5" customHeight="1">
      <c r="A375" s="44"/>
      <c r="B375" s="31"/>
      <c r="C375" s="45"/>
      <c r="D375" s="32"/>
      <c r="E375" s="16">
        <f t="shared" si="1"/>
        <v>0</v>
      </c>
    </row>
    <row r="376" ht="22.5" customHeight="1">
      <c r="A376" s="44"/>
      <c r="B376" s="31"/>
      <c r="C376" s="45"/>
      <c r="D376" s="32"/>
      <c r="E376" s="16">
        <f t="shared" si="1"/>
        <v>0</v>
      </c>
    </row>
    <row r="377" ht="22.5" customHeight="1">
      <c r="A377" s="44"/>
      <c r="B377" s="31"/>
      <c r="C377" s="45"/>
      <c r="D377" s="32"/>
      <c r="E377" s="16">
        <f t="shared" si="1"/>
        <v>0</v>
      </c>
    </row>
    <row r="378" ht="22.5" customHeight="1">
      <c r="A378" s="44"/>
      <c r="B378" s="31"/>
      <c r="C378" s="45"/>
      <c r="D378" s="32"/>
      <c r="E378" s="16">
        <f t="shared" si="1"/>
        <v>0</v>
      </c>
    </row>
    <row r="379" ht="22.5" customHeight="1">
      <c r="A379" s="44"/>
      <c r="B379" s="31"/>
      <c r="C379" s="45"/>
      <c r="D379" s="32"/>
      <c r="E379" s="16">
        <f t="shared" si="1"/>
        <v>0</v>
      </c>
    </row>
    <row r="380" ht="22.5" customHeight="1">
      <c r="A380" s="44"/>
      <c r="B380" s="31"/>
      <c r="C380" s="45"/>
      <c r="D380" s="32"/>
      <c r="E380" s="16">
        <f t="shared" si="1"/>
        <v>0</v>
      </c>
    </row>
    <row r="381" ht="22.5" customHeight="1">
      <c r="A381" s="44"/>
      <c r="B381" s="31"/>
      <c r="C381" s="45"/>
      <c r="D381" s="32"/>
      <c r="E381" s="16">
        <f t="shared" si="1"/>
        <v>0</v>
      </c>
    </row>
    <row r="382" ht="22.5" customHeight="1">
      <c r="A382" s="44"/>
      <c r="B382" s="31"/>
      <c r="C382" s="45"/>
      <c r="D382" s="32"/>
      <c r="E382" s="16">
        <f t="shared" si="1"/>
        <v>0</v>
      </c>
    </row>
    <row r="383" ht="22.5" customHeight="1">
      <c r="A383" s="44"/>
      <c r="B383" s="31"/>
      <c r="C383" s="45"/>
      <c r="D383" s="32"/>
      <c r="E383" s="16">
        <f t="shared" si="1"/>
        <v>0</v>
      </c>
    </row>
    <row r="384" ht="22.5" customHeight="1">
      <c r="A384" s="44"/>
      <c r="B384" s="31"/>
      <c r="C384" s="45"/>
      <c r="D384" s="32"/>
      <c r="E384" s="16">
        <f t="shared" si="1"/>
        <v>0</v>
      </c>
    </row>
    <row r="385" ht="22.5" customHeight="1">
      <c r="A385" s="44"/>
      <c r="B385" s="31"/>
      <c r="C385" s="45"/>
      <c r="D385" s="32"/>
      <c r="E385" s="16">
        <f t="shared" si="1"/>
        <v>0</v>
      </c>
    </row>
    <row r="386" ht="22.5" customHeight="1">
      <c r="A386" s="44"/>
      <c r="B386" s="31"/>
      <c r="C386" s="45"/>
      <c r="D386" s="32"/>
      <c r="E386" s="16">
        <f t="shared" si="1"/>
        <v>0</v>
      </c>
    </row>
    <row r="387" ht="22.5" customHeight="1">
      <c r="A387" s="44"/>
      <c r="B387" s="31"/>
      <c r="C387" s="45"/>
      <c r="D387" s="32"/>
      <c r="E387" s="16">
        <f t="shared" si="1"/>
        <v>0</v>
      </c>
    </row>
    <row r="388" ht="22.5" customHeight="1">
      <c r="A388" s="44"/>
      <c r="B388" s="31"/>
      <c r="C388" s="45"/>
      <c r="D388" s="32"/>
      <c r="E388" s="16">
        <f t="shared" si="1"/>
        <v>0</v>
      </c>
    </row>
    <row r="389" ht="22.5" customHeight="1">
      <c r="A389" s="44"/>
      <c r="B389" s="31"/>
      <c r="C389" s="45"/>
      <c r="D389" s="32"/>
      <c r="E389" s="16">
        <f t="shared" si="1"/>
        <v>0</v>
      </c>
    </row>
    <row r="390" ht="22.5" customHeight="1">
      <c r="A390" s="44"/>
      <c r="B390" s="31"/>
      <c r="C390" s="45"/>
      <c r="D390" s="32"/>
      <c r="E390" s="16">
        <f t="shared" si="1"/>
        <v>0</v>
      </c>
    </row>
    <row r="391" ht="22.5" customHeight="1">
      <c r="A391" s="44"/>
      <c r="B391" s="31"/>
      <c r="C391" s="45"/>
      <c r="D391" s="32"/>
      <c r="E391" s="16">
        <f t="shared" si="1"/>
        <v>0</v>
      </c>
    </row>
    <row r="392" ht="22.5" customHeight="1">
      <c r="A392" s="44"/>
      <c r="B392" s="31"/>
      <c r="C392" s="45"/>
      <c r="D392" s="32"/>
      <c r="E392" s="16">
        <f t="shared" si="1"/>
        <v>0</v>
      </c>
    </row>
    <row r="393" ht="22.5" customHeight="1">
      <c r="A393" s="44"/>
      <c r="B393" s="31"/>
      <c r="C393" s="45"/>
      <c r="D393" s="32"/>
      <c r="E393" s="16">
        <f t="shared" si="1"/>
        <v>0</v>
      </c>
    </row>
    <row r="394" ht="22.5" customHeight="1">
      <c r="A394" s="44"/>
      <c r="B394" s="31"/>
      <c r="C394" s="45"/>
      <c r="D394" s="32"/>
      <c r="E394" s="16">
        <f t="shared" si="1"/>
        <v>0</v>
      </c>
    </row>
    <row r="395" ht="22.5" customHeight="1">
      <c r="A395" s="44"/>
      <c r="B395" s="31"/>
      <c r="C395" s="45"/>
      <c r="D395" s="32"/>
      <c r="E395" s="16">
        <f t="shared" si="1"/>
        <v>0</v>
      </c>
    </row>
    <row r="396" ht="22.5" customHeight="1">
      <c r="A396" s="44"/>
      <c r="B396" s="31"/>
      <c r="C396" s="45"/>
      <c r="D396" s="32"/>
      <c r="E396" s="16">
        <f t="shared" si="1"/>
        <v>0</v>
      </c>
    </row>
    <row r="397" ht="22.5" customHeight="1">
      <c r="A397" s="44"/>
      <c r="B397" s="31"/>
      <c r="C397" s="45"/>
      <c r="D397" s="32"/>
      <c r="E397" s="16">
        <f t="shared" si="1"/>
        <v>0</v>
      </c>
    </row>
    <row r="398" ht="22.5" customHeight="1">
      <c r="A398" s="44"/>
      <c r="B398" s="31"/>
      <c r="C398" s="45"/>
      <c r="D398" s="32"/>
      <c r="E398" s="16">
        <f t="shared" si="1"/>
        <v>0</v>
      </c>
    </row>
    <row r="399" ht="22.5" customHeight="1">
      <c r="A399" s="44"/>
      <c r="B399" s="31"/>
      <c r="C399" s="45"/>
      <c r="D399" s="32"/>
      <c r="E399" s="16">
        <f t="shared" si="1"/>
        <v>0</v>
      </c>
    </row>
    <row r="400" ht="22.5" customHeight="1">
      <c r="A400" s="44"/>
      <c r="B400" s="31"/>
      <c r="C400" s="45"/>
      <c r="D400" s="32"/>
      <c r="E400" s="16">
        <f t="shared" si="1"/>
        <v>0</v>
      </c>
    </row>
    <row r="401" ht="22.5" customHeight="1">
      <c r="A401" s="44"/>
      <c r="B401" s="31"/>
      <c r="C401" s="45"/>
      <c r="D401" s="32"/>
      <c r="E401" s="16">
        <f t="shared" si="1"/>
        <v>0</v>
      </c>
    </row>
    <row r="402" ht="22.5" customHeight="1">
      <c r="A402" s="44"/>
      <c r="B402" s="31"/>
      <c r="C402" s="45"/>
      <c r="D402" s="32"/>
      <c r="E402" s="16">
        <f t="shared" si="1"/>
        <v>0</v>
      </c>
    </row>
    <row r="403" ht="22.5" customHeight="1">
      <c r="A403" s="44"/>
      <c r="B403" s="31"/>
      <c r="C403" s="45"/>
      <c r="D403" s="32"/>
      <c r="E403" s="16">
        <f t="shared" si="1"/>
        <v>0</v>
      </c>
    </row>
    <row r="404" ht="22.5" customHeight="1">
      <c r="A404" s="44"/>
      <c r="B404" s="31"/>
      <c r="C404" s="45"/>
      <c r="D404" s="32"/>
      <c r="E404" s="16">
        <f t="shared" si="1"/>
        <v>0</v>
      </c>
    </row>
    <row r="405" ht="22.5" customHeight="1">
      <c r="A405" s="44"/>
      <c r="B405" s="31"/>
      <c r="C405" s="45"/>
      <c r="D405" s="32"/>
      <c r="E405" s="16">
        <f t="shared" si="1"/>
        <v>0</v>
      </c>
    </row>
    <row r="406" ht="22.5" customHeight="1">
      <c r="A406" s="44"/>
      <c r="B406" s="31"/>
      <c r="C406" s="45"/>
      <c r="D406" s="32"/>
      <c r="E406" s="16">
        <f t="shared" si="1"/>
        <v>0</v>
      </c>
    </row>
    <row r="407" ht="22.5" customHeight="1">
      <c r="A407" s="44"/>
      <c r="B407" s="31"/>
      <c r="C407" s="45"/>
      <c r="D407" s="32"/>
      <c r="E407" s="16">
        <f t="shared" si="1"/>
        <v>0</v>
      </c>
    </row>
    <row r="408" ht="22.5" customHeight="1">
      <c r="A408" s="44"/>
      <c r="B408" s="31"/>
      <c r="C408" s="45"/>
      <c r="D408" s="32"/>
      <c r="E408" s="16">
        <f t="shared" si="1"/>
        <v>0</v>
      </c>
    </row>
    <row r="409" ht="22.5" customHeight="1">
      <c r="A409" s="44"/>
      <c r="B409" s="31"/>
      <c r="C409" s="45"/>
      <c r="D409" s="32"/>
      <c r="E409" s="16">
        <f t="shared" si="1"/>
        <v>0</v>
      </c>
    </row>
    <row r="410" ht="22.5" customHeight="1">
      <c r="A410" s="44"/>
      <c r="B410" s="31"/>
      <c r="C410" s="45"/>
      <c r="D410" s="32"/>
      <c r="E410" s="16">
        <f t="shared" si="1"/>
        <v>0</v>
      </c>
    </row>
    <row r="411" ht="22.5" customHeight="1">
      <c r="A411" s="44"/>
      <c r="B411" s="31"/>
      <c r="C411" s="45"/>
      <c r="D411" s="32"/>
      <c r="E411" s="16">
        <f t="shared" si="1"/>
        <v>0</v>
      </c>
    </row>
    <row r="412" ht="22.5" customHeight="1">
      <c r="A412" s="44"/>
      <c r="B412" s="31"/>
      <c r="C412" s="45"/>
      <c r="D412" s="32"/>
      <c r="E412" s="16">
        <f t="shared" si="1"/>
        <v>0</v>
      </c>
    </row>
    <row r="413" ht="22.5" customHeight="1">
      <c r="A413" s="44"/>
      <c r="B413" s="31"/>
      <c r="C413" s="45"/>
      <c r="D413" s="32"/>
      <c r="E413" s="16">
        <f t="shared" si="1"/>
        <v>0</v>
      </c>
    </row>
    <row r="414" ht="22.5" customHeight="1">
      <c r="A414" s="44"/>
      <c r="B414" s="31"/>
      <c r="C414" s="45"/>
      <c r="D414" s="32"/>
      <c r="E414" s="16">
        <f t="shared" si="1"/>
        <v>0</v>
      </c>
    </row>
    <row r="415" ht="22.5" customHeight="1">
      <c r="A415" s="44"/>
      <c r="B415" s="31"/>
      <c r="C415" s="45"/>
      <c r="D415" s="32"/>
      <c r="E415" s="16">
        <f t="shared" si="1"/>
        <v>0</v>
      </c>
    </row>
    <row r="416" ht="22.5" customHeight="1">
      <c r="A416" s="44"/>
      <c r="B416" s="31"/>
      <c r="C416" s="45"/>
      <c r="D416" s="32"/>
      <c r="E416" s="16">
        <f t="shared" si="1"/>
        <v>0</v>
      </c>
    </row>
    <row r="417" ht="22.5" customHeight="1">
      <c r="A417" s="44"/>
      <c r="B417" s="31"/>
      <c r="C417" s="45"/>
      <c r="D417" s="32"/>
      <c r="E417" s="16">
        <f t="shared" si="1"/>
        <v>0</v>
      </c>
    </row>
    <row r="418" ht="22.5" customHeight="1">
      <c r="A418" s="44"/>
      <c r="B418" s="31"/>
      <c r="C418" s="45"/>
      <c r="D418" s="32"/>
      <c r="E418" s="16">
        <f t="shared" si="1"/>
        <v>0</v>
      </c>
    </row>
    <row r="419" ht="22.5" customHeight="1">
      <c r="A419" s="44"/>
      <c r="B419" s="31"/>
      <c r="C419" s="45"/>
      <c r="D419" s="32"/>
      <c r="E419" s="16">
        <f t="shared" si="1"/>
        <v>0</v>
      </c>
    </row>
    <row r="420" ht="22.5" customHeight="1">
      <c r="A420" s="44"/>
      <c r="B420" s="31"/>
      <c r="C420" s="45"/>
      <c r="D420" s="32"/>
      <c r="E420" s="16">
        <f t="shared" si="1"/>
        <v>0</v>
      </c>
    </row>
    <row r="421" ht="22.5" customHeight="1">
      <c r="A421" s="44"/>
      <c r="B421" s="31"/>
      <c r="C421" s="45"/>
      <c r="D421" s="32"/>
      <c r="E421" s="16">
        <f t="shared" si="1"/>
        <v>0</v>
      </c>
    </row>
    <row r="422" ht="22.5" customHeight="1">
      <c r="A422" s="44"/>
      <c r="B422" s="31"/>
      <c r="C422" s="45"/>
      <c r="D422" s="32"/>
      <c r="E422" s="16">
        <f t="shared" si="1"/>
        <v>0</v>
      </c>
    </row>
    <row r="423" ht="22.5" customHeight="1">
      <c r="A423" s="44"/>
      <c r="B423" s="31"/>
      <c r="C423" s="45"/>
      <c r="D423" s="32"/>
      <c r="E423" s="16">
        <f t="shared" si="1"/>
        <v>0</v>
      </c>
    </row>
    <row r="424" ht="22.5" customHeight="1">
      <c r="A424" s="44"/>
      <c r="B424" s="31"/>
      <c r="C424" s="45"/>
      <c r="D424" s="32"/>
      <c r="E424" s="16">
        <f t="shared" si="1"/>
        <v>0</v>
      </c>
    </row>
    <row r="425" ht="22.5" customHeight="1">
      <c r="A425" s="44"/>
      <c r="B425" s="31"/>
      <c r="C425" s="45"/>
      <c r="D425" s="32"/>
      <c r="E425" s="16">
        <f t="shared" si="1"/>
        <v>0</v>
      </c>
    </row>
    <row r="426" ht="22.5" customHeight="1">
      <c r="A426" s="44"/>
      <c r="B426" s="31"/>
      <c r="C426" s="45"/>
      <c r="D426" s="32"/>
      <c r="E426" s="16">
        <f t="shared" si="1"/>
        <v>0</v>
      </c>
    </row>
    <row r="427" ht="22.5" customHeight="1">
      <c r="A427" s="44"/>
      <c r="B427" s="31"/>
      <c r="C427" s="45"/>
      <c r="D427" s="32"/>
      <c r="E427" s="16">
        <f t="shared" si="1"/>
        <v>0</v>
      </c>
    </row>
    <row r="428" ht="22.5" customHeight="1">
      <c r="A428" s="44"/>
      <c r="B428" s="31"/>
      <c r="C428" s="45"/>
      <c r="D428" s="32"/>
      <c r="E428" s="16">
        <f t="shared" si="1"/>
        <v>0</v>
      </c>
    </row>
    <row r="429" ht="22.5" customHeight="1">
      <c r="A429" s="44"/>
      <c r="B429" s="31"/>
      <c r="C429" s="45"/>
      <c r="D429" s="32"/>
      <c r="E429" s="16">
        <f t="shared" si="1"/>
        <v>0</v>
      </c>
    </row>
    <row r="430" ht="22.5" customHeight="1">
      <c r="A430" s="44"/>
      <c r="B430" s="31"/>
      <c r="C430" s="45"/>
      <c r="D430" s="32"/>
      <c r="E430" s="16">
        <f t="shared" si="1"/>
        <v>0</v>
      </c>
    </row>
    <row r="431" ht="22.5" customHeight="1">
      <c r="A431" s="44"/>
      <c r="B431" s="31"/>
      <c r="C431" s="45"/>
      <c r="D431" s="32"/>
      <c r="E431" s="16">
        <f t="shared" si="1"/>
        <v>0</v>
      </c>
    </row>
    <row r="432" ht="22.5" customHeight="1">
      <c r="A432" s="44"/>
      <c r="B432" s="31"/>
      <c r="C432" s="45"/>
      <c r="D432" s="32"/>
      <c r="E432" s="16">
        <f t="shared" si="1"/>
        <v>0</v>
      </c>
    </row>
    <row r="433" ht="22.5" customHeight="1">
      <c r="A433" s="44"/>
      <c r="B433" s="31"/>
      <c r="C433" s="45"/>
      <c r="D433" s="32"/>
      <c r="E433" s="16">
        <f t="shared" si="1"/>
        <v>0</v>
      </c>
    </row>
    <row r="434" ht="22.5" customHeight="1">
      <c r="A434" s="44"/>
      <c r="B434" s="31"/>
      <c r="C434" s="45"/>
      <c r="D434" s="32"/>
      <c r="E434" s="16">
        <f t="shared" si="1"/>
        <v>0</v>
      </c>
    </row>
    <row r="435" ht="22.5" customHeight="1">
      <c r="A435" s="44"/>
      <c r="B435" s="31"/>
      <c r="C435" s="45"/>
      <c r="D435" s="32"/>
      <c r="E435" s="16">
        <f t="shared" si="1"/>
        <v>0</v>
      </c>
    </row>
    <row r="436" ht="22.5" customHeight="1">
      <c r="A436" s="44"/>
      <c r="B436" s="31"/>
      <c r="C436" s="45"/>
      <c r="D436" s="32"/>
      <c r="E436" s="16">
        <f t="shared" si="1"/>
        <v>0</v>
      </c>
    </row>
    <row r="437" ht="22.5" customHeight="1">
      <c r="A437" s="44"/>
      <c r="B437" s="31"/>
      <c r="C437" s="45"/>
      <c r="D437" s="32"/>
      <c r="E437" s="16">
        <f t="shared" si="1"/>
        <v>0</v>
      </c>
    </row>
    <row r="438" ht="22.5" customHeight="1">
      <c r="A438" s="44"/>
      <c r="B438" s="31"/>
      <c r="C438" s="45"/>
      <c r="D438" s="32"/>
      <c r="E438" s="16">
        <f t="shared" si="1"/>
        <v>0</v>
      </c>
    </row>
    <row r="439" ht="22.5" customHeight="1">
      <c r="A439" s="44"/>
      <c r="B439" s="31"/>
      <c r="C439" s="45"/>
      <c r="D439" s="32"/>
      <c r="E439" s="16">
        <f t="shared" si="1"/>
        <v>0</v>
      </c>
    </row>
    <row r="440" ht="22.5" customHeight="1">
      <c r="A440" s="44"/>
      <c r="B440" s="31"/>
      <c r="C440" s="45"/>
      <c r="D440" s="32"/>
      <c r="E440" s="16">
        <f t="shared" si="1"/>
        <v>0</v>
      </c>
    </row>
    <row r="441" ht="22.5" customHeight="1">
      <c r="A441" s="44"/>
      <c r="B441" s="31"/>
      <c r="C441" s="45"/>
      <c r="D441" s="32"/>
      <c r="E441" s="16">
        <f t="shared" si="1"/>
        <v>0</v>
      </c>
    </row>
    <row r="442" ht="22.5" customHeight="1">
      <c r="A442" s="44"/>
      <c r="B442" s="31"/>
      <c r="C442" s="45"/>
      <c r="D442" s="32"/>
      <c r="E442" s="16">
        <f t="shared" si="1"/>
        <v>0</v>
      </c>
    </row>
    <row r="443" ht="22.5" customHeight="1">
      <c r="A443" s="44"/>
      <c r="B443" s="31"/>
      <c r="C443" s="45"/>
      <c r="D443" s="32"/>
      <c r="E443" s="16">
        <f t="shared" si="1"/>
        <v>0</v>
      </c>
    </row>
    <row r="444" ht="22.5" customHeight="1">
      <c r="A444" s="44"/>
      <c r="B444" s="31"/>
      <c r="C444" s="45"/>
      <c r="D444" s="32"/>
      <c r="E444" s="16">
        <f t="shared" si="1"/>
        <v>0</v>
      </c>
    </row>
    <row r="445" ht="22.5" customHeight="1">
      <c r="A445" s="44"/>
      <c r="B445" s="31"/>
      <c r="C445" s="45"/>
      <c r="D445" s="32"/>
      <c r="E445" s="16">
        <f t="shared" si="1"/>
        <v>0</v>
      </c>
    </row>
    <row r="446" ht="22.5" customHeight="1">
      <c r="A446" s="44"/>
      <c r="B446" s="31"/>
      <c r="C446" s="45"/>
      <c r="D446" s="32"/>
      <c r="E446" s="16">
        <f t="shared" si="1"/>
        <v>0</v>
      </c>
    </row>
    <row r="447" ht="22.5" customHeight="1">
      <c r="A447" s="44"/>
      <c r="B447" s="31"/>
      <c r="C447" s="45"/>
      <c r="D447" s="32"/>
      <c r="E447" s="16">
        <f t="shared" si="1"/>
        <v>0</v>
      </c>
    </row>
    <row r="448" ht="22.5" customHeight="1">
      <c r="A448" s="44"/>
      <c r="B448" s="31"/>
      <c r="C448" s="45"/>
      <c r="D448" s="32"/>
      <c r="E448" s="16">
        <f t="shared" si="1"/>
        <v>0</v>
      </c>
    </row>
    <row r="449" ht="22.5" customHeight="1">
      <c r="A449" s="44"/>
      <c r="B449" s="31"/>
      <c r="C449" s="45"/>
      <c r="D449" s="32"/>
      <c r="E449" s="16">
        <f t="shared" si="1"/>
        <v>0</v>
      </c>
    </row>
    <row r="450" ht="22.5" customHeight="1">
      <c r="A450" s="44"/>
      <c r="B450" s="31"/>
      <c r="C450" s="45"/>
      <c r="D450" s="32"/>
      <c r="E450" s="16">
        <f t="shared" si="1"/>
        <v>0</v>
      </c>
    </row>
    <row r="451" ht="22.5" customHeight="1">
      <c r="A451" s="44"/>
      <c r="B451" s="31"/>
      <c r="C451" s="45"/>
      <c r="D451" s="32"/>
      <c r="E451" s="16">
        <f t="shared" si="1"/>
        <v>0</v>
      </c>
    </row>
    <row r="452" ht="22.5" customHeight="1">
      <c r="A452" s="44"/>
      <c r="B452" s="31"/>
      <c r="C452" s="45"/>
      <c r="D452" s="32"/>
      <c r="E452" s="16">
        <f t="shared" si="1"/>
        <v>0</v>
      </c>
    </row>
    <row r="453" ht="22.5" customHeight="1">
      <c r="A453" s="44"/>
      <c r="B453" s="31"/>
      <c r="C453" s="45"/>
      <c r="D453" s="32"/>
      <c r="E453" s="16">
        <f t="shared" si="1"/>
        <v>0</v>
      </c>
    </row>
    <row r="454" ht="22.5" customHeight="1">
      <c r="A454" s="44"/>
      <c r="B454" s="31"/>
      <c r="C454" s="45"/>
      <c r="D454" s="32"/>
      <c r="E454" s="16">
        <f t="shared" si="1"/>
        <v>0</v>
      </c>
    </row>
    <row r="455" ht="22.5" customHeight="1">
      <c r="A455" s="44"/>
      <c r="B455" s="31"/>
      <c r="C455" s="45"/>
      <c r="D455" s="32"/>
      <c r="E455" s="16">
        <f t="shared" si="1"/>
        <v>0</v>
      </c>
    </row>
    <row r="456" ht="22.5" customHeight="1">
      <c r="A456" s="44"/>
      <c r="B456" s="31"/>
      <c r="C456" s="45"/>
      <c r="D456" s="32"/>
      <c r="E456" s="16">
        <f t="shared" si="1"/>
        <v>0</v>
      </c>
    </row>
    <row r="457" ht="22.5" customHeight="1">
      <c r="A457" s="44"/>
      <c r="B457" s="31"/>
      <c r="C457" s="45"/>
      <c r="D457" s="32"/>
      <c r="E457" s="16">
        <f t="shared" si="1"/>
        <v>0</v>
      </c>
    </row>
    <row r="458" ht="22.5" customHeight="1">
      <c r="A458" s="44"/>
      <c r="B458" s="31"/>
      <c r="C458" s="45"/>
      <c r="D458" s="32"/>
      <c r="E458" s="16">
        <f t="shared" si="1"/>
        <v>0</v>
      </c>
    </row>
    <row r="459" ht="22.5" customHeight="1">
      <c r="A459" s="44"/>
      <c r="B459" s="31"/>
      <c r="C459" s="45"/>
      <c r="D459" s="32"/>
      <c r="E459" s="16">
        <f t="shared" si="1"/>
        <v>0</v>
      </c>
    </row>
    <row r="460" ht="22.5" customHeight="1">
      <c r="A460" s="44"/>
      <c r="B460" s="31"/>
      <c r="C460" s="45"/>
      <c r="D460" s="32"/>
      <c r="E460" s="16">
        <f t="shared" si="1"/>
        <v>0</v>
      </c>
    </row>
    <row r="461" ht="22.5" customHeight="1">
      <c r="A461" s="44"/>
      <c r="B461" s="31"/>
      <c r="C461" s="45"/>
      <c r="D461" s="32"/>
      <c r="E461" s="16">
        <f t="shared" si="1"/>
        <v>0</v>
      </c>
    </row>
    <row r="462" ht="22.5" customHeight="1">
      <c r="A462" s="44"/>
      <c r="B462" s="31"/>
      <c r="C462" s="45"/>
      <c r="D462" s="32"/>
      <c r="E462" s="16">
        <f t="shared" si="1"/>
        <v>0</v>
      </c>
    </row>
    <row r="463" ht="22.5" customHeight="1">
      <c r="A463" s="44"/>
      <c r="B463" s="31"/>
      <c r="C463" s="45"/>
      <c r="D463" s="32"/>
      <c r="E463" s="16">
        <f t="shared" si="1"/>
        <v>0</v>
      </c>
    </row>
    <row r="464" ht="22.5" customHeight="1">
      <c r="A464" s="44"/>
      <c r="B464" s="31"/>
      <c r="C464" s="45"/>
      <c r="D464" s="32"/>
      <c r="E464" s="16">
        <f t="shared" si="1"/>
        <v>0</v>
      </c>
    </row>
    <row r="465" ht="22.5" customHeight="1">
      <c r="A465" s="44"/>
      <c r="B465" s="31"/>
      <c r="C465" s="45"/>
      <c r="D465" s="32"/>
      <c r="E465" s="16">
        <f t="shared" si="1"/>
        <v>0</v>
      </c>
    </row>
    <row r="466" ht="22.5" customHeight="1">
      <c r="A466" s="44"/>
      <c r="B466" s="31"/>
      <c r="C466" s="45"/>
      <c r="D466" s="32"/>
      <c r="E466" s="16">
        <f t="shared" si="1"/>
        <v>0</v>
      </c>
    </row>
    <row r="467" ht="22.5" customHeight="1">
      <c r="A467" s="44"/>
      <c r="B467" s="31"/>
      <c r="C467" s="45"/>
      <c r="D467" s="32"/>
      <c r="E467" s="16">
        <f t="shared" si="1"/>
        <v>0</v>
      </c>
    </row>
    <row r="468" ht="22.5" customHeight="1">
      <c r="A468" s="44"/>
      <c r="B468" s="31"/>
      <c r="C468" s="45"/>
      <c r="D468" s="32"/>
      <c r="E468" s="16">
        <f t="shared" si="1"/>
        <v>0</v>
      </c>
    </row>
    <row r="469" ht="22.5" customHeight="1">
      <c r="A469" s="44"/>
      <c r="B469" s="31"/>
      <c r="C469" s="45"/>
      <c r="D469" s="32"/>
      <c r="E469" s="16">
        <f t="shared" si="1"/>
        <v>0</v>
      </c>
    </row>
    <row r="470" ht="22.5" customHeight="1">
      <c r="A470" s="44"/>
      <c r="B470" s="31"/>
      <c r="C470" s="45"/>
      <c r="D470" s="32"/>
      <c r="E470" s="16">
        <f t="shared" si="1"/>
        <v>0</v>
      </c>
    </row>
    <row r="471" ht="22.5" customHeight="1">
      <c r="A471" s="44"/>
      <c r="B471" s="31"/>
      <c r="C471" s="45"/>
      <c r="D471" s="32"/>
      <c r="E471" s="16">
        <f t="shared" si="1"/>
        <v>0</v>
      </c>
    </row>
    <row r="472" ht="22.5" customHeight="1">
      <c r="A472" s="44"/>
      <c r="B472" s="31"/>
      <c r="C472" s="45"/>
      <c r="D472" s="32"/>
      <c r="E472" s="16">
        <f t="shared" si="1"/>
        <v>0</v>
      </c>
    </row>
    <row r="473" ht="22.5" customHeight="1">
      <c r="A473" s="44"/>
      <c r="B473" s="31"/>
      <c r="C473" s="45"/>
      <c r="D473" s="32"/>
      <c r="E473" s="16">
        <f t="shared" si="1"/>
        <v>0</v>
      </c>
    </row>
    <row r="474" ht="22.5" customHeight="1">
      <c r="A474" s="44"/>
      <c r="B474" s="31"/>
      <c r="C474" s="45"/>
      <c r="D474" s="32"/>
      <c r="E474" s="16">
        <f t="shared" si="1"/>
        <v>0</v>
      </c>
    </row>
    <row r="475" ht="22.5" customHeight="1">
      <c r="A475" s="44"/>
      <c r="B475" s="31"/>
      <c r="C475" s="45"/>
      <c r="D475" s="32"/>
      <c r="E475" s="16">
        <f t="shared" si="1"/>
        <v>0</v>
      </c>
    </row>
    <row r="476" ht="22.5" customHeight="1">
      <c r="A476" s="44"/>
      <c r="B476" s="31"/>
      <c r="C476" s="45"/>
      <c r="D476" s="32"/>
      <c r="E476" s="16">
        <f t="shared" si="1"/>
        <v>0</v>
      </c>
    </row>
    <row r="477" ht="22.5" customHeight="1">
      <c r="A477" s="44"/>
      <c r="B477" s="31"/>
      <c r="C477" s="45"/>
      <c r="D477" s="32"/>
      <c r="E477" s="16">
        <f t="shared" si="1"/>
        <v>0</v>
      </c>
    </row>
    <row r="478" ht="22.5" customHeight="1">
      <c r="A478" s="44"/>
      <c r="B478" s="31"/>
      <c r="C478" s="45"/>
      <c r="D478" s="32"/>
      <c r="E478" s="16">
        <f t="shared" si="1"/>
        <v>0</v>
      </c>
    </row>
    <row r="479" ht="22.5" customHeight="1">
      <c r="A479" s="44"/>
      <c r="B479" s="31"/>
      <c r="C479" s="45"/>
      <c r="D479" s="32"/>
      <c r="E479" s="16">
        <f t="shared" si="1"/>
        <v>0</v>
      </c>
    </row>
    <row r="480" ht="22.5" customHeight="1">
      <c r="A480" s="44"/>
      <c r="B480" s="31"/>
      <c r="C480" s="45"/>
      <c r="D480" s="32"/>
      <c r="E480" s="16">
        <f t="shared" si="1"/>
        <v>0</v>
      </c>
    </row>
    <row r="481" ht="22.5" customHeight="1">
      <c r="A481" s="44"/>
      <c r="B481" s="31"/>
      <c r="C481" s="45"/>
      <c r="D481" s="32"/>
      <c r="E481" s="16">
        <f t="shared" si="1"/>
        <v>0</v>
      </c>
    </row>
    <row r="482" ht="22.5" customHeight="1">
      <c r="A482" s="44"/>
      <c r="B482" s="31"/>
      <c r="C482" s="45"/>
      <c r="D482" s="32"/>
      <c r="E482" s="16">
        <f t="shared" si="1"/>
        <v>0</v>
      </c>
    </row>
    <row r="483" ht="22.5" customHeight="1">
      <c r="A483" s="44"/>
      <c r="B483" s="31"/>
      <c r="C483" s="45"/>
      <c r="D483" s="32"/>
      <c r="E483" s="16">
        <f t="shared" si="1"/>
        <v>0</v>
      </c>
    </row>
    <row r="484" ht="22.5" customHeight="1">
      <c r="A484" s="44"/>
      <c r="B484" s="31"/>
      <c r="C484" s="45"/>
      <c r="D484" s="32"/>
      <c r="E484" s="16">
        <f t="shared" si="1"/>
        <v>0</v>
      </c>
    </row>
    <row r="485" ht="22.5" customHeight="1">
      <c r="A485" s="44"/>
      <c r="B485" s="31"/>
      <c r="C485" s="45"/>
      <c r="D485" s="32"/>
      <c r="E485" s="16">
        <f t="shared" si="1"/>
        <v>0</v>
      </c>
    </row>
    <row r="486" ht="22.5" customHeight="1">
      <c r="A486" s="44"/>
      <c r="B486" s="31"/>
      <c r="C486" s="45"/>
      <c r="D486" s="32"/>
      <c r="E486" s="16">
        <f t="shared" si="1"/>
        <v>0</v>
      </c>
    </row>
    <row r="487" ht="22.5" customHeight="1">
      <c r="A487" s="44"/>
      <c r="B487" s="31"/>
      <c r="C487" s="45"/>
      <c r="D487" s="32"/>
      <c r="E487" s="16">
        <f t="shared" si="1"/>
        <v>0</v>
      </c>
    </row>
    <row r="488" ht="22.5" customHeight="1">
      <c r="A488" s="44"/>
      <c r="B488" s="31"/>
      <c r="C488" s="45"/>
      <c r="D488" s="32"/>
      <c r="E488" s="16">
        <f t="shared" si="1"/>
        <v>0</v>
      </c>
    </row>
    <row r="489" ht="22.5" customHeight="1">
      <c r="A489" s="44"/>
      <c r="B489" s="31"/>
      <c r="C489" s="45"/>
      <c r="D489" s="32"/>
      <c r="E489" s="16">
        <f t="shared" si="1"/>
        <v>0</v>
      </c>
    </row>
    <row r="490" ht="22.5" customHeight="1">
      <c r="A490" s="44"/>
      <c r="B490" s="31"/>
      <c r="C490" s="45"/>
      <c r="D490" s="32"/>
      <c r="E490" s="16">
        <f t="shared" si="1"/>
        <v>0</v>
      </c>
    </row>
    <row r="491" ht="22.5" customHeight="1">
      <c r="A491" s="44"/>
      <c r="B491" s="31"/>
      <c r="C491" s="45"/>
      <c r="D491" s="32"/>
      <c r="E491" s="16">
        <f t="shared" si="1"/>
        <v>0</v>
      </c>
    </row>
    <row r="492" ht="22.5" customHeight="1">
      <c r="A492" s="44"/>
      <c r="B492" s="31"/>
      <c r="C492" s="45"/>
      <c r="D492" s="32"/>
      <c r="E492" s="16">
        <f t="shared" si="1"/>
        <v>0</v>
      </c>
    </row>
    <row r="493" ht="22.5" customHeight="1">
      <c r="A493" s="44"/>
      <c r="B493" s="31"/>
      <c r="C493" s="45"/>
      <c r="D493" s="32"/>
      <c r="E493" s="16">
        <f t="shared" si="1"/>
        <v>0</v>
      </c>
    </row>
    <row r="494" ht="22.5" customHeight="1">
      <c r="A494" s="44"/>
      <c r="B494" s="31"/>
      <c r="C494" s="45"/>
      <c r="D494" s="32"/>
      <c r="E494" s="16">
        <f t="shared" si="1"/>
        <v>0</v>
      </c>
    </row>
    <row r="495" ht="22.5" customHeight="1">
      <c r="A495" s="44"/>
      <c r="B495" s="31"/>
      <c r="C495" s="45"/>
      <c r="D495" s="32"/>
      <c r="E495" s="16">
        <f t="shared" si="1"/>
        <v>0</v>
      </c>
    </row>
    <row r="496" ht="22.5" customHeight="1">
      <c r="A496" s="44"/>
      <c r="B496" s="31"/>
      <c r="C496" s="45"/>
      <c r="D496" s="32"/>
      <c r="E496" s="16">
        <f t="shared" si="1"/>
        <v>0</v>
      </c>
    </row>
    <row r="497" ht="22.5" customHeight="1">
      <c r="A497" s="44"/>
      <c r="B497" s="31"/>
      <c r="C497" s="45"/>
      <c r="D497" s="32"/>
      <c r="E497" s="16">
        <f t="shared" si="1"/>
        <v>0</v>
      </c>
    </row>
    <row r="498" ht="22.5" customHeight="1">
      <c r="A498" s="44"/>
      <c r="B498" s="31"/>
      <c r="C498" s="45"/>
      <c r="D498" s="32"/>
      <c r="E498" s="16">
        <f t="shared" si="1"/>
        <v>0</v>
      </c>
    </row>
    <row r="499" ht="22.5" customHeight="1">
      <c r="A499" s="44"/>
      <c r="B499" s="31"/>
      <c r="C499" s="45"/>
      <c r="D499" s="32"/>
      <c r="E499" s="16">
        <f t="shared" si="1"/>
        <v>0</v>
      </c>
    </row>
    <row r="500" ht="22.5" customHeight="1">
      <c r="A500" s="44"/>
      <c r="B500" s="31"/>
      <c r="C500" s="45"/>
      <c r="D500" s="32"/>
      <c r="E500" s="16">
        <f t="shared" si="1"/>
        <v>0</v>
      </c>
    </row>
    <row r="501" ht="22.5" customHeight="1">
      <c r="A501" s="44"/>
      <c r="B501" s="31"/>
      <c r="C501" s="45"/>
      <c r="D501" s="32"/>
      <c r="E501" s="16">
        <f t="shared" si="1"/>
        <v>0</v>
      </c>
    </row>
    <row r="502" ht="22.5" customHeight="1">
      <c r="A502" s="44"/>
      <c r="B502" s="31"/>
      <c r="C502" s="45"/>
      <c r="D502" s="32"/>
      <c r="E502" s="16">
        <f t="shared" si="1"/>
        <v>0</v>
      </c>
    </row>
    <row r="503" ht="22.5" customHeight="1">
      <c r="A503" s="44"/>
      <c r="B503" s="31"/>
      <c r="C503" s="45"/>
      <c r="D503" s="32"/>
      <c r="E503" s="16">
        <f t="shared" si="1"/>
        <v>0</v>
      </c>
    </row>
    <row r="504" ht="22.5" customHeight="1">
      <c r="A504" s="44"/>
      <c r="B504" s="31"/>
      <c r="C504" s="45"/>
      <c r="D504" s="32"/>
      <c r="E504" s="16">
        <f t="shared" si="1"/>
        <v>0</v>
      </c>
    </row>
    <row r="505" ht="22.5" customHeight="1">
      <c r="A505" s="44"/>
      <c r="B505" s="31"/>
      <c r="C505" s="45"/>
      <c r="D505" s="32"/>
      <c r="E505" s="16">
        <f t="shared" si="1"/>
        <v>0</v>
      </c>
    </row>
    <row r="506" ht="22.5" customHeight="1">
      <c r="A506" s="44"/>
      <c r="B506" s="31"/>
      <c r="C506" s="45"/>
      <c r="D506" s="32"/>
      <c r="E506" s="16">
        <f t="shared" si="1"/>
        <v>0</v>
      </c>
    </row>
    <row r="507" ht="22.5" customHeight="1">
      <c r="A507" s="44"/>
      <c r="B507" s="31"/>
      <c r="C507" s="45"/>
      <c r="D507" s="32"/>
      <c r="E507" s="16">
        <f t="shared" si="1"/>
        <v>0</v>
      </c>
    </row>
    <row r="508" ht="22.5" customHeight="1">
      <c r="A508" s="44"/>
      <c r="B508" s="31"/>
      <c r="C508" s="45"/>
      <c r="D508" s="32"/>
      <c r="E508" s="16">
        <f t="shared" si="1"/>
        <v>0</v>
      </c>
    </row>
    <row r="509" ht="22.5" customHeight="1">
      <c r="A509" s="44"/>
      <c r="B509" s="31"/>
      <c r="C509" s="45"/>
      <c r="D509" s="32"/>
      <c r="E509" s="16">
        <f t="shared" si="1"/>
        <v>0</v>
      </c>
    </row>
    <row r="510" ht="22.5" customHeight="1">
      <c r="A510" s="44"/>
      <c r="B510" s="31"/>
      <c r="C510" s="45"/>
      <c r="D510" s="32"/>
      <c r="E510" s="16">
        <f t="shared" si="1"/>
        <v>0</v>
      </c>
    </row>
    <row r="511" ht="22.5" customHeight="1">
      <c r="A511" s="44"/>
      <c r="B511" s="31"/>
      <c r="C511" s="45"/>
      <c r="D511" s="32"/>
      <c r="E511" s="16">
        <f t="shared" si="1"/>
        <v>0</v>
      </c>
    </row>
    <row r="512" ht="22.5" customHeight="1">
      <c r="A512" s="44"/>
      <c r="B512" s="31"/>
      <c r="C512" s="45"/>
      <c r="D512" s="32"/>
      <c r="E512" s="16">
        <f t="shared" si="1"/>
        <v>0</v>
      </c>
    </row>
    <row r="513" ht="22.5" customHeight="1">
      <c r="A513" s="44"/>
      <c r="B513" s="31"/>
      <c r="C513" s="45"/>
      <c r="D513" s="32"/>
      <c r="E513" s="16">
        <f t="shared" si="1"/>
        <v>0</v>
      </c>
    </row>
    <row r="514" ht="22.5" customHeight="1">
      <c r="A514" s="44"/>
      <c r="B514" s="31"/>
      <c r="C514" s="45"/>
      <c r="D514" s="32"/>
      <c r="E514" s="16">
        <f t="shared" si="1"/>
        <v>0</v>
      </c>
    </row>
    <row r="515" ht="22.5" customHeight="1">
      <c r="A515" s="44"/>
      <c r="B515" s="31"/>
      <c r="C515" s="45"/>
      <c r="D515" s="32"/>
      <c r="E515" s="16">
        <f t="shared" si="1"/>
        <v>0</v>
      </c>
    </row>
    <row r="516" ht="22.5" customHeight="1">
      <c r="A516" s="44"/>
      <c r="B516" s="31"/>
      <c r="C516" s="45"/>
      <c r="D516" s="32"/>
      <c r="E516" s="16">
        <f t="shared" si="1"/>
        <v>0</v>
      </c>
    </row>
    <row r="517" ht="22.5" customHeight="1">
      <c r="A517" s="44"/>
      <c r="B517" s="31"/>
      <c r="C517" s="45"/>
      <c r="D517" s="32"/>
      <c r="E517" s="16">
        <f t="shared" si="1"/>
        <v>0</v>
      </c>
    </row>
    <row r="518" ht="22.5" customHeight="1">
      <c r="A518" s="44"/>
      <c r="B518" s="31"/>
      <c r="C518" s="45"/>
      <c r="D518" s="32"/>
      <c r="E518" s="16">
        <f t="shared" si="1"/>
        <v>0</v>
      </c>
    </row>
    <row r="519" ht="22.5" customHeight="1">
      <c r="A519" s="44"/>
      <c r="B519" s="31"/>
      <c r="C519" s="45"/>
      <c r="D519" s="32"/>
      <c r="E519" s="16">
        <f t="shared" si="1"/>
        <v>0</v>
      </c>
    </row>
    <row r="520" ht="22.5" customHeight="1">
      <c r="A520" s="44"/>
      <c r="B520" s="31"/>
      <c r="C520" s="45"/>
      <c r="D520" s="32"/>
      <c r="E520" s="16">
        <f t="shared" si="1"/>
        <v>0</v>
      </c>
    </row>
    <row r="521" ht="22.5" customHeight="1">
      <c r="A521" s="44"/>
      <c r="B521" s="31"/>
      <c r="C521" s="45"/>
      <c r="D521" s="32"/>
      <c r="E521" s="16">
        <f t="shared" si="1"/>
        <v>0</v>
      </c>
    </row>
    <row r="522" ht="22.5" customHeight="1">
      <c r="A522" s="44"/>
      <c r="B522" s="31"/>
      <c r="C522" s="45"/>
      <c r="D522" s="32"/>
      <c r="E522" s="16">
        <f t="shared" si="1"/>
        <v>0</v>
      </c>
    </row>
    <row r="523" ht="22.5" customHeight="1">
      <c r="A523" s="44"/>
      <c r="B523" s="31"/>
      <c r="C523" s="45"/>
      <c r="D523" s="32"/>
      <c r="E523" s="16">
        <f t="shared" si="1"/>
        <v>0</v>
      </c>
    </row>
    <row r="524" ht="22.5" customHeight="1">
      <c r="A524" s="44"/>
      <c r="B524" s="31"/>
      <c r="C524" s="45"/>
      <c r="D524" s="32"/>
      <c r="E524" s="16">
        <f t="shared" si="1"/>
        <v>0</v>
      </c>
    </row>
    <row r="525" ht="22.5" customHeight="1">
      <c r="A525" s="44"/>
      <c r="B525" s="31"/>
      <c r="C525" s="45"/>
      <c r="D525" s="32"/>
      <c r="E525" s="16">
        <f t="shared" si="1"/>
        <v>0</v>
      </c>
    </row>
    <row r="526" ht="22.5" customHeight="1">
      <c r="A526" s="44"/>
      <c r="B526" s="31"/>
      <c r="C526" s="45"/>
      <c r="D526" s="32"/>
      <c r="E526" s="16">
        <f t="shared" si="1"/>
        <v>0</v>
      </c>
    </row>
    <row r="527" ht="22.5" customHeight="1">
      <c r="A527" s="44"/>
      <c r="B527" s="31"/>
      <c r="C527" s="45"/>
      <c r="D527" s="32"/>
      <c r="E527" s="16">
        <f t="shared" si="1"/>
        <v>0</v>
      </c>
    </row>
    <row r="528" ht="22.5" customHeight="1">
      <c r="A528" s="44"/>
      <c r="B528" s="31"/>
      <c r="C528" s="45"/>
      <c r="D528" s="32"/>
      <c r="E528" s="16">
        <f t="shared" si="1"/>
        <v>0</v>
      </c>
    </row>
    <row r="529" ht="22.5" customHeight="1">
      <c r="A529" s="44"/>
      <c r="B529" s="31"/>
      <c r="C529" s="45"/>
      <c r="D529" s="32"/>
      <c r="E529" s="16">
        <f t="shared" si="1"/>
        <v>0</v>
      </c>
    </row>
    <row r="530" ht="22.5" customHeight="1">
      <c r="A530" s="44"/>
      <c r="B530" s="31"/>
      <c r="C530" s="45"/>
      <c r="D530" s="32"/>
      <c r="E530" s="16">
        <f t="shared" si="1"/>
        <v>0</v>
      </c>
    </row>
    <row r="531" ht="22.5" customHeight="1">
      <c r="A531" s="44"/>
      <c r="B531" s="31"/>
      <c r="C531" s="45"/>
      <c r="D531" s="32"/>
      <c r="E531" s="16">
        <f t="shared" si="1"/>
        <v>0</v>
      </c>
    </row>
    <row r="532" ht="22.5" customHeight="1">
      <c r="A532" s="44"/>
      <c r="B532" s="31"/>
      <c r="C532" s="45"/>
      <c r="D532" s="32"/>
      <c r="E532" s="16">
        <f t="shared" si="1"/>
        <v>0</v>
      </c>
    </row>
    <row r="533" ht="22.5" customHeight="1">
      <c r="A533" s="44"/>
      <c r="B533" s="31"/>
      <c r="C533" s="45"/>
      <c r="D533" s="32"/>
      <c r="E533" s="16">
        <f t="shared" si="1"/>
        <v>0</v>
      </c>
    </row>
    <row r="534" ht="22.5" customHeight="1">
      <c r="A534" s="44"/>
      <c r="B534" s="31"/>
      <c r="C534" s="45"/>
      <c r="D534" s="32"/>
      <c r="E534" s="16">
        <f t="shared" si="1"/>
        <v>0</v>
      </c>
    </row>
    <row r="535" ht="22.5" customHeight="1">
      <c r="A535" s="44"/>
      <c r="B535" s="31"/>
      <c r="C535" s="45"/>
      <c r="D535" s="32"/>
      <c r="E535" s="16">
        <f t="shared" si="1"/>
        <v>0</v>
      </c>
    </row>
    <row r="536" ht="22.5" customHeight="1">
      <c r="A536" s="44"/>
      <c r="B536" s="31"/>
      <c r="C536" s="45"/>
      <c r="D536" s="32"/>
      <c r="E536" s="16">
        <f t="shared" si="1"/>
        <v>0</v>
      </c>
    </row>
    <row r="537" ht="22.5" customHeight="1">
      <c r="A537" s="44"/>
      <c r="B537" s="31"/>
      <c r="C537" s="45"/>
      <c r="D537" s="32"/>
      <c r="E537" s="16">
        <f t="shared" si="1"/>
        <v>0</v>
      </c>
    </row>
    <row r="538" ht="22.5" customHeight="1">
      <c r="A538" s="44"/>
      <c r="B538" s="31"/>
      <c r="C538" s="45"/>
      <c r="D538" s="32"/>
      <c r="E538" s="16">
        <f t="shared" si="1"/>
        <v>0</v>
      </c>
    </row>
    <row r="539" ht="22.5" customHeight="1">
      <c r="A539" s="44"/>
      <c r="B539" s="31"/>
      <c r="C539" s="45"/>
      <c r="D539" s="32"/>
      <c r="E539" s="16">
        <f t="shared" si="1"/>
        <v>0</v>
      </c>
    </row>
    <row r="540" ht="22.5" customHeight="1">
      <c r="A540" s="44"/>
      <c r="B540" s="31"/>
      <c r="C540" s="45"/>
      <c r="D540" s="32"/>
      <c r="E540" s="16">
        <f t="shared" si="1"/>
        <v>0</v>
      </c>
    </row>
    <row r="541" ht="22.5" customHeight="1">
      <c r="A541" s="44"/>
      <c r="B541" s="31"/>
      <c r="C541" s="45"/>
      <c r="D541" s="32"/>
      <c r="E541" s="16">
        <f t="shared" si="1"/>
        <v>0</v>
      </c>
    </row>
    <row r="542" ht="22.5" customHeight="1">
      <c r="A542" s="44"/>
      <c r="B542" s="31"/>
      <c r="C542" s="45"/>
      <c r="D542" s="32"/>
      <c r="E542" s="16">
        <f t="shared" si="1"/>
        <v>0</v>
      </c>
    </row>
  </sheetData>
  <dataValidations>
    <dataValidation type="custom" allowBlank="1" showDropDown="1" sqref="A3:A542">
      <formula1>OR(NOT(ISERROR(DATEVALUE(A3))), AND(ISNUMBER(A3), LEFT(CELL("format", A3))="D"))</formula1>
    </dataValidation>
    <dataValidation type="custom" allowBlank="1" showDropDown="1" sqref="D3:E542">
      <formula1>AND(ISNUMBER(D3),(NOT(OR(NOT(ISERROR(DATEVALUE(D3))), AND(ISNUMBER(D3), LEFT(CELL("format", D3))="D")))))</formula1>
    </dataValidation>
    <dataValidation allowBlank="1" showDropDown="1" sqref="C3:C542"/>
  </dataValidations>
  <drawing r:id="rId1"/>
  <tableParts count="1">
    <tablePart r:id="rId3"/>
  </tableParts>
</worksheet>
</file>